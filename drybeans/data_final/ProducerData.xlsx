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12437176621/WOPIServiceId_TP_BOX_2/WOPIUserId_-/"/>
    </mc:Choice>
  </mc:AlternateContent>
  <xr:revisionPtr revIDLastSave="7" documentId="13_ncr:1_{3138664C-8A84-C14D-987A-A7B395E08356}" xr6:coauthVersionLast="47" xr6:coauthVersionMax="47" xr10:uidLastSave="{BC6FFF4B-FA07-CE4C-BBC6-826584084CF0}"/>
  <bookViews>
    <workbookView xWindow="0" yWindow="860" windowWidth="30240" windowHeight="17060" xr2:uid="{268E36D9-1F61-40CE-ABEE-E9DD42566B20}"/>
  </bookViews>
  <sheets>
    <sheet name="fake_data" sheetId="1" r:id="rId1"/>
    <sheet name="price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B10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tc={80454982-4D51-7B4D-8C63-4CAFAFCB1529}</author>
    <author>tc={0FD02941-710E-3D4B-82EB-215A7D77B2AA}</author>
    <author>tc={AA007299-98AD-C149-9320-A5A7EE535BBB}</author>
    <author>tc={B5EA64DE-145D-4F4C-8A72-6BF2A4989092}</author>
    <author>tc={5B16D1E7-1011-8343-842E-CDDC163F2490}</author>
    <author>tc={485E6586-57E6-5748-9A39-353B7C101771}</author>
  </authors>
  <commentList>
    <comment ref="D1" authorId="0" shapeId="0" xr:uid="{80454982-4D51-7B4D-8C63-4CAFAFCB15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available for this group. Too few operations</t>
      </text>
    </comment>
    <comment ref="A4" authorId="1" shapeId="0" xr:uid="{0FD02941-710E-3D4B-82EB-215A7D77B2AA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do not have county level data. I do have the number of operations per county (if the pass disclosure review).</t>
      </text>
    </comment>
    <comment ref="A10" authorId="2" shapeId="0" xr:uid="{AA007299-98AD-C149-9320-A5A7EE535B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commodity
</t>
      </text>
    </comment>
    <comment ref="A16" authorId="3" shapeId="0" xr:uid="{B5EA64DE-145D-4F4C-8A72-6BF2A4989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Smaller operations have higher cost of production per unit. We need to indicate. 
Do we have any sample </t>
      </text>
    </comment>
    <comment ref="A19" authorId="4" shapeId="0" xr:uid="{5B16D1E7-1011-8343-842E-CDDC163F24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changed this to be a line for each commodity
</t>
      </text>
    </comment>
    <comment ref="A25" authorId="5" shapeId="0" xr:uid="{485E6586-57E6-5748-9A39-353B7C10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pulled for livestock or dairy as primary commodity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tc={5DCDA787-C317-3041-8A63-7A0B6047EE1F}</author>
    <author>tc={05C22916-0609-3041-A0F0-47C256761EFE}</author>
  </authors>
  <commentList>
    <comment ref="A13" authorId="0" shapeId="0" xr:uid="{5DCDA787-C317-3041-8A63-7A0B6047EE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changed this to be a line for each commodity
</t>
      </text>
    </comment>
    <comment ref="A19" authorId="1" shapeId="0" xr:uid="{05C22916-0609-3041-A0F0-47C256761EFE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pulled for livestock or dairy as primary commodity</t>
      </text>
    </comment>
  </commentList>
</comments>
</file>

<file path=xl/sharedStrings.xml><?xml version="1.0" encoding="utf-8"?>
<sst xmlns="http://schemas.openxmlformats.org/spreadsheetml/2006/main" count="187" uniqueCount="61">
  <si>
    <t>GCFI_More_1_Million</t>
  </si>
  <si>
    <t>Not_MWBE</t>
  </si>
  <si>
    <t>GCFI_Less_1_Million</t>
  </si>
  <si>
    <t>MWBE</t>
  </si>
  <si>
    <t>Drybeans</t>
  </si>
  <si>
    <t>Soybeans</t>
  </si>
  <si>
    <t>StdDev</t>
  </si>
  <si>
    <t>Number</t>
  </si>
  <si>
    <t>Grey = NA</t>
  </si>
  <si>
    <t>Mean_or_Value</t>
  </si>
  <si>
    <r>
      <t>County</t>
    </r>
    <r>
      <rPr>
        <sz val="11"/>
        <color theme="1"/>
        <rFont val="Aptos Narrow"/>
        <family val="2"/>
        <scheme val="minor"/>
      </rPr>
      <t xml:space="preserve"> (may be out-of-state)</t>
    </r>
  </si>
  <si>
    <t>Cash_Initial</t>
  </si>
  <si>
    <r>
      <rPr>
        <b/>
        <sz val="11"/>
        <color theme="1"/>
        <rFont val="Aptos Narrow"/>
        <family val="2"/>
        <scheme val="minor"/>
      </rPr>
      <t>Commodity_Types</t>
    </r>
    <r>
      <rPr>
        <sz val="11"/>
        <color theme="1"/>
        <rFont val="Aptos Narrow"/>
        <family val="2"/>
        <scheme val="minor"/>
      </rPr>
      <t xml:space="preserve"> (i.e., some combination of: dry_bean_conv, dry_bean_organic, soybean_conv, soybean_organic)</t>
    </r>
  </si>
  <si>
    <r>
      <t>Inventory_Initial</t>
    </r>
    <r>
      <rPr>
        <sz val="11"/>
        <color theme="1"/>
        <rFont val="Aptos Narrow"/>
        <family val="2"/>
        <scheme val="minor"/>
      </rPr>
      <t xml:space="preserve"> (or default to 0)</t>
    </r>
  </si>
  <si>
    <t>Sale_Price</t>
  </si>
  <si>
    <t>Buy_Price</t>
  </si>
  <si>
    <t>Cost</t>
  </si>
  <si>
    <t>Max_change</t>
  </si>
  <si>
    <t>Total_Acreage</t>
  </si>
  <si>
    <t>Young_Probablity</t>
  </si>
  <si>
    <t>Beginning_Probability</t>
  </si>
  <si>
    <t>Dairy_Probability</t>
  </si>
  <si>
    <t>Organic_Probability</t>
  </si>
  <si>
    <t>Conventional_Tilliage_Probability</t>
  </si>
  <si>
    <t>CRP_Probability</t>
  </si>
  <si>
    <t>Tenure_Probability</t>
  </si>
  <si>
    <t>Infrastructure_Probability</t>
  </si>
  <si>
    <t>Organic_Markets_Probability</t>
  </si>
  <si>
    <t>Differentiated_Markets_Probability</t>
  </si>
  <si>
    <t xml:space="preserve"> </t>
  </si>
  <si>
    <t>Entries copied for</t>
  </si>
  <si>
    <t>each county</t>
  </si>
  <si>
    <t>n/a</t>
  </si>
  <si>
    <t xml:space="preserve">Acres_per_Commodity_Drybeans </t>
  </si>
  <si>
    <t xml:space="preserve">Acres_per_Commodity_soybeans </t>
  </si>
  <si>
    <t>Yield_per_Commodity_drybeans</t>
  </si>
  <si>
    <t>Yield_per_Commodity_soybeans</t>
  </si>
  <si>
    <t>Added</t>
  </si>
  <si>
    <t>Onfarm_Packing_Probability</t>
  </si>
  <si>
    <t>Max_Inventory_soybeans</t>
  </si>
  <si>
    <t>Max_Inventory_drybeans</t>
  </si>
  <si>
    <t>Ethnicity: label a farm as "socially disadvantaged" if at least one decision-maker on the farm checked yes to "Hispanic, Latino, or Spanish origin"</t>
  </si>
  <si>
    <t>Race: label a farm as "socially disadvantaged" if at least one decision-maker on the farm checked yes to Black or African America, American Indian or Alaska Native, Asian, Native Hawaiian or Other Pacific Islander.</t>
  </si>
  <si>
    <t>"Majority female" operations -where at least ½ of those involved in making management decisions on the farm were female</t>
  </si>
  <si>
    <t>If an operation falls into any of these cateogries they are considered MWBE.</t>
  </si>
  <si>
    <t>Number of farms</t>
  </si>
  <si>
    <t>Notes</t>
  </si>
  <si>
    <t>Average yield x harvested acres</t>
  </si>
  <si>
    <t>Acres</t>
  </si>
  <si>
    <t>0/1</t>
  </si>
  <si>
    <t>Bushels per acre</t>
  </si>
  <si>
    <t>Hundredweight (CWT) per acre</t>
  </si>
  <si>
    <t xml:space="preserve">Hundredweight (CWT) </t>
  </si>
  <si>
    <t xml:space="preserve">Bushels  </t>
  </si>
  <si>
    <t>Units</t>
  </si>
  <si>
    <t>MWBE Definition</t>
  </si>
  <si>
    <t>Crop</t>
  </si>
  <si>
    <t>Year</t>
  </si>
  <si>
    <t>Price</t>
  </si>
  <si>
    <t>Dry beans</t>
  </si>
  <si>
    <t>see "price"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</si>
</sst>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2" fillId="0" borderId="0" xfId="0" applyFont="1"/>
    <xf numFmtId="0" fontId="1" fillId="8" borderId="0" xfId="0" applyFont="1" applyFill="1"/>
    <xf numFmtId="0" fontId="0" fillId="8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ison Bauman" id="{05FB6B37-1C89-B848-810F-28F032DE1BB3}" userId="36616036225_tp_box_2" providerId="Windows Live"/>
  <person displayName="Bauman,Allie" id="{9A647658-9A60-7A43-A425-19A1C24B4CA7}" userId="S::agbauman@colostate.edu::e222ee83-0f64-4e2d-8f4b-1dda9c38a5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7-02T21:40:37.41" personId="{9A647658-9A60-7A43-A425-19A1C24B4CA7}" id="{80454982-4D51-7B4D-8C63-4CAFAFCB1529}">
    <text>No data available for this group. Too few operations</text>
  </threadedComment>
  <threadedComment ref="A4" dT="2025-07-02T21:36:14.26" personId="{9A647658-9A60-7A43-A425-19A1C24B4CA7}" id="{0FD02941-710E-3D4B-82EB-215A7D77B2AA}">
    <text>We do not have county level data. I do have the number of operations per county (if the pass disclosure review).</text>
  </threadedComment>
  <threadedComment ref="A10" dT="2025-07-02T21:48:00.11" personId="{9A647658-9A60-7A43-A425-19A1C24B4CA7}" id="{AA007299-98AD-C149-9320-A5A7EE535BBB}">
    <text xml:space="preserve">Added commodity
</text>
  </threadedComment>
  <threadedComment ref="A16" dT="2025-09-04T17:48:47.62" personId="{05FB6B37-1C89-B848-810F-28F032DE1BB3}" id="{B5EA64DE-145D-4F4C-8A72-6BF2A4989092}">
    <text xml:space="preserve">Smaller operations have higher cost of production per unit. We need to indicate. 
Do we have any sample </text>
  </threadedComment>
  <threadedComment ref="A19" dT="2025-07-02T21:37:19.67" personId="{9A647658-9A60-7A43-A425-19A1C24B4CA7}" id="{5B16D1E7-1011-8343-842E-CDDC163F2490}">
    <text xml:space="preserve">I changed this to be a line for each commodity
</text>
  </threadedComment>
  <threadedComment ref="A25" dT="2025-07-02T21:50:30.95" personId="{9A647658-9A60-7A43-A425-19A1C24B4CA7}" id="{485E6586-57E6-5748-9A39-353B7C101771}">
    <text>pulled for livestock or dairy as primary commodity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3" dT="2025-07-02T21:37:19.67" personId="{9A647658-9A60-7A43-A425-19A1C24B4CA7}" id="{5DCDA787-C317-3041-8A63-7A0B6047EE1F}">
    <text xml:space="preserve">I changed this to be a line for each commodity
</text>
  </threadedComment>
  <threadedComment ref="A19" dT="2025-07-02T21:50:30.95" personId="{9A647658-9A60-7A43-A425-19A1C24B4CA7}" id="{05C22916-0609-3041-A0F0-47C256761EFE}">
    <text>pulled for livestock or dairy as primary commodity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90D5-AC8F-49CA-AA8F-F9AA2E88BC05}">
  <dimension ref="A1:R35"/>
  <sheetViews>
    <sheetView tabSelected="1" zoomScale="150" zoomScaleNormal="150"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A16" sqref="A16"/>
    </sheetView>
  </sheetViews>
  <sheetFormatPr baseColWidth="10" defaultColWidth="8.83203125" defaultRowHeight="15" x14ac:dyDescent="0.2"/>
  <cols>
    <col min="1" max="17" width="18.33203125" customWidth="1"/>
  </cols>
  <sheetData>
    <row r="1" spans="1:18" x14ac:dyDescent="0.2">
      <c r="A1" s="6" t="s">
        <v>8</v>
      </c>
      <c r="B1" s="3" t="s">
        <v>4</v>
      </c>
      <c r="C1" s="3" t="s">
        <v>4</v>
      </c>
      <c r="D1" s="10" t="s">
        <v>4</v>
      </c>
      <c r="E1" s="10" t="s">
        <v>4</v>
      </c>
      <c r="F1" s="3" t="s">
        <v>4</v>
      </c>
      <c r="G1" s="3" t="s">
        <v>4</v>
      </c>
      <c r="H1" s="1" t="s">
        <v>4</v>
      </c>
      <c r="I1" s="1" t="s">
        <v>4</v>
      </c>
      <c r="J1" s="4" t="s">
        <v>5</v>
      </c>
      <c r="K1" s="4" t="s">
        <v>5</v>
      </c>
      <c r="L1" s="2" t="s">
        <v>5</v>
      </c>
      <c r="M1" s="2" t="s">
        <v>5</v>
      </c>
      <c r="N1" s="4" t="s">
        <v>5</v>
      </c>
      <c r="O1" s="4" t="s">
        <v>5</v>
      </c>
      <c r="P1" s="2" t="s">
        <v>5</v>
      </c>
      <c r="Q1" s="2" t="s">
        <v>5</v>
      </c>
      <c r="R1" s="2"/>
    </row>
    <row r="2" spans="1:18" x14ac:dyDescent="0.2">
      <c r="B2" s="3" t="s">
        <v>0</v>
      </c>
      <c r="C2" s="3" t="s">
        <v>0</v>
      </c>
      <c r="D2" s="10" t="s">
        <v>0</v>
      </c>
      <c r="E2" s="10" t="s">
        <v>0</v>
      </c>
      <c r="F2" s="3" t="s">
        <v>2</v>
      </c>
      <c r="G2" s="3" t="s">
        <v>2</v>
      </c>
      <c r="H2" s="1" t="s">
        <v>2</v>
      </c>
      <c r="I2" s="1" t="s">
        <v>2</v>
      </c>
      <c r="J2" s="4" t="s">
        <v>0</v>
      </c>
      <c r="K2" s="4" t="s">
        <v>0</v>
      </c>
      <c r="L2" s="2" t="s">
        <v>0</v>
      </c>
      <c r="M2" s="2" t="s">
        <v>0</v>
      </c>
      <c r="N2" s="4" t="s">
        <v>2</v>
      </c>
      <c r="O2" s="4" t="s">
        <v>2</v>
      </c>
      <c r="P2" s="2" t="s">
        <v>2</v>
      </c>
      <c r="Q2" s="2" t="s">
        <v>2</v>
      </c>
      <c r="R2" s="2"/>
    </row>
    <row r="3" spans="1:18" x14ac:dyDescent="0.2">
      <c r="A3" s="8" t="s">
        <v>30</v>
      </c>
      <c r="B3" s="3" t="s">
        <v>1</v>
      </c>
      <c r="C3" s="3" t="s">
        <v>1</v>
      </c>
      <c r="D3" s="10" t="s">
        <v>3</v>
      </c>
      <c r="E3" s="10" t="s">
        <v>3</v>
      </c>
      <c r="F3" s="3" t="s">
        <v>1</v>
      </c>
      <c r="G3" s="3" t="s">
        <v>1</v>
      </c>
      <c r="H3" s="1" t="s">
        <v>3</v>
      </c>
      <c r="I3" s="1" t="s">
        <v>3</v>
      </c>
      <c r="J3" s="4" t="s">
        <v>1</v>
      </c>
      <c r="K3" s="4" t="s">
        <v>1</v>
      </c>
      <c r="L3" s="2" t="s">
        <v>3</v>
      </c>
      <c r="M3" s="2" t="s">
        <v>3</v>
      </c>
      <c r="N3" s="4" t="s">
        <v>1</v>
      </c>
      <c r="O3" s="4" t="s">
        <v>1</v>
      </c>
      <c r="P3" s="2" t="s">
        <v>3</v>
      </c>
      <c r="Q3" s="2" t="s">
        <v>3</v>
      </c>
      <c r="R3" s="2"/>
    </row>
    <row r="4" spans="1:18" x14ac:dyDescent="0.2">
      <c r="A4" s="8" t="s">
        <v>31</v>
      </c>
      <c r="B4" s="3" t="s">
        <v>9</v>
      </c>
      <c r="C4" s="3" t="s">
        <v>6</v>
      </c>
      <c r="D4" s="10" t="s">
        <v>9</v>
      </c>
      <c r="E4" s="10" t="s">
        <v>6</v>
      </c>
      <c r="F4" s="3" t="s">
        <v>9</v>
      </c>
      <c r="G4" s="3" t="s">
        <v>6</v>
      </c>
      <c r="H4" s="1" t="s">
        <v>9</v>
      </c>
      <c r="I4" s="1" t="s">
        <v>6</v>
      </c>
      <c r="J4" s="4" t="s">
        <v>9</v>
      </c>
      <c r="K4" s="4" t="s">
        <v>6</v>
      </c>
      <c r="L4" s="2" t="s">
        <v>9</v>
      </c>
      <c r="M4" s="2" t="s">
        <v>6</v>
      </c>
      <c r="N4" s="4" t="s">
        <v>9</v>
      </c>
      <c r="O4" s="4" t="s">
        <v>6</v>
      </c>
      <c r="P4" s="2" t="s">
        <v>9</v>
      </c>
      <c r="Q4" s="2" t="s">
        <v>6</v>
      </c>
      <c r="R4" s="2"/>
    </row>
    <row r="5" spans="1:18" x14ac:dyDescent="0.2">
      <c r="B5" s="3"/>
      <c r="C5" s="3"/>
      <c r="D5" s="10"/>
      <c r="E5" s="10"/>
      <c r="F5" s="3"/>
      <c r="G5" s="3"/>
      <c r="H5" s="1"/>
      <c r="I5" s="1"/>
      <c r="J5" s="4"/>
      <c r="K5" s="4"/>
      <c r="L5" s="2"/>
      <c r="M5" s="2"/>
      <c r="N5" s="4"/>
      <c r="O5" s="4"/>
      <c r="P5" s="2"/>
      <c r="Q5" s="2"/>
      <c r="R5" s="2"/>
    </row>
    <row r="6" spans="1:18" x14ac:dyDescent="0.2">
      <c r="B6" s="3"/>
      <c r="C6" s="3"/>
      <c r="D6" s="10"/>
      <c r="E6" s="10"/>
      <c r="F6" s="3"/>
      <c r="G6" s="3"/>
      <c r="H6" s="1"/>
      <c r="I6" s="1"/>
      <c r="J6" s="4"/>
      <c r="K6" s="4"/>
      <c r="L6" s="2"/>
      <c r="M6" s="2"/>
      <c r="N6" s="4"/>
      <c r="O6" s="4"/>
      <c r="P6" s="2"/>
      <c r="Q6" s="2"/>
      <c r="R6" s="2"/>
    </row>
    <row r="7" spans="1:18" x14ac:dyDescent="0.2">
      <c r="A7" s="5" t="s">
        <v>10</v>
      </c>
      <c r="C7" s="7"/>
      <c r="D7" s="11"/>
      <c r="E7" s="11"/>
      <c r="G7" s="7"/>
      <c r="I7" s="7"/>
      <c r="K7" s="7"/>
      <c r="M7" s="7"/>
      <c r="O7" s="7"/>
      <c r="Q7" s="7"/>
    </row>
    <row r="8" spans="1:18" x14ac:dyDescent="0.2">
      <c r="A8" s="5" t="s">
        <v>7</v>
      </c>
      <c r="B8">
        <v>20</v>
      </c>
      <c r="C8" s="7" t="s">
        <v>32</v>
      </c>
      <c r="D8" s="11" t="s">
        <v>32</v>
      </c>
      <c r="E8" s="11" t="s">
        <v>32</v>
      </c>
      <c r="F8">
        <v>50</v>
      </c>
      <c r="G8" s="7" t="s">
        <v>32</v>
      </c>
      <c r="H8">
        <v>10</v>
      </c>
      <c r="I8" s="7" t="s">
        <v>32</v>
      </c>
      <c r="J8">
        <v>300</v>
      </c>
      <c r="K8" s="7" t="s">
        <v>32</v>
      </c>
      <c r="L8">
        <v>70</v>
      </c>
      <c r="M8" s="7" t="s">
        <v>32</v>
      </c>
      <c r="N8">
        <v>1000</v>
      </c>
      <c r="O8" s="7" t="s">
        <v>32</v>
      </c>
      <c r="P8">
        <v>400</v>
      </c>
      <c r="Q8" s="7" t="s">
        <v>32</v>
      </c>
    </row>
    <row r="9" spans="1:18" x14ac:dyDescent="0.2">
      <c r="A9" s="5" t="s">
        <v>11</v>
      </c>
      <c r="D9" s="11"/>
      <c r="E9" s="11"/>
    </row>
    <row r="10" spans="1:18" x14ac:dyDescent="0.2">
      <c r="A10" s="5" t="s">
        <v>40</v>
      </c>
      <c r="B10">
        <f>B19*B21</f>
        <v>1600</v>
      </c>
      <c r="C10">
        <v>60</v>
      </c>
      <c r="D10" s="11"/>
      <c r="E10" s="11"/>
      <c r="H10">
        <f>H19*H21</f>
        <v>160</v>
      </c>
      <c r="I10">
        <v>60</v>
      </c>
    </row>
    <row r="11" spans="1:18" x14ac:dyDescent="0.2">
      <c r="A11" s="5" t="s">
        <v>39</v>
      </c>
      <c r="B11">
        <f>B20*B22</f>
        <v>7500</v>
      </c>
      <c r="C11">
        <v>200</v>
      </c>
      <c r="D11" s="11"/>
      <c r="E11" s="11"/>
      <c r="H11">
        <f>H20*H22</f>
        <v>250</v>
      </c>
      <c r="I11">
        <v>200</v>
      </c>
    </row>
    <row r="12" spans="1:18" x14ac:dyDescent="0.2">
      <c r="A12" t="s">
        <v>12</v>
      </c>
      <c r="B12" t="s">
        <v>29</v>
      </c>
      <c r="C12" s="7"/>
      <c r="D12" s="11"/>
      <c r="E12" s="11"/>
      <c r="G12" s="7"/>
      <c r="I12" s="7"/>
      <c r="K12" s="7"/>
      <c r="M12" s="7"/>
      <c r="O12" s="7"/>
      <c r="Q12" s="7"/>
    </row>
    <row r="13" spans="1:18" x14ac:dyDescent="0.2">
      <c r="A13" s="5" t="s">
        <v>13</v>
      </c>
      <c r="B13" t="s">
        <v>29</v>
      </c>
      <c r="D13" s="11"/>
      <c r="E13" s="11"/>
    </row>
    <row r="14" spans="1:18" x14ac:dyDescent="0.2">
      <c r="A14" s="5" t="s">
        <v>14</v>
      </c>
      <c r="B14" t="s">
        <v>60</v>
      </c>
      <c r="D14" s="11"/>
      <c r="E14" s="11"/>
    </row>
    <row r="15" spans="1:18" x14ac:dyDescent="0.2">
      <c r="A15" s="5" t="s">
        <v>15</v>
      </c>
      <c r="D15" s="11"/>
      <c r="E15" s="11"/>
    </row>
    <row r="16" spans="1:18" x14ac:dyDescent="0.2">
      <c r="A16" s="5" t="s">
        <v>16</v>
      </c>
      <c r="C16" s="7"/>
      <c r="D16" s="11"/>
      <c r="E16" s="11"/>
      <c r="G16" s="7"/>
      <c r="I16" s="7"/>
      <c r="K16" s="7"/>
      <c r="M16" s="7"/>
      <c r="O16" s="7"/>
      <c r="Q16" s="7"/>
    </row>
    <row r="17" spans="1:17" x14ac:dyDescent="0.2">
      <c r="A17" s="5" t="s">
        <v>17</v>
      </c>
      <c r="C17" s="7"/>
      <c r="D17" s="11"/>
      <c r="E17" s="11"/>
      <c r="G17" s="7"/>
      <c r="I17" s="7"/>
      <c r="K17" s="7"/>
      <c r="M17" s="7"/>
      <c r="O17" s="7"/>
      <c r="Q17" s="7"/>
    </row>
    <row r="18" spans="1:17" x14ac:dyDescent="0.2">
      <c r="A18" s="5" t="s">
        <v>18</v>
      </c>
      <c r="B18">
        <v>2000</v>
      </c>
      <c r="C18">
        <v>50</v>
      </c>
      <c r="D18" s="11"/>
      <c r="E18" s="11"/>
      <c r="H18">
        <v>70</v>
      </c>
      <c r="I18">
        <v>20</v>
      </c>
      <c r="J18">
        <v>2000</v>
      </c>
      <c r="K18">
        <v>100</v>
      </c>
    </row>
    <row r="19" spans="1:17" x14ac:dyDescent="0.2">
      <c r="A19" s="5" t="s">
        <v>33</v>
      </c>
      <c r="B19">
        <v>200</v>
      </c>
      <c r="C19">
        <v>20</v>
      </c>
      <c r="D19" s="11"/>
      <c r="E19" s="11"/>
      <c r="H19">
        <v>20</v>
      </c>
      <c r="I19">
        <v>10</v>
      </c>
      <c r="J19">
        <v>5</v>
      </c>
      <c r="K19">
        <v>1</v>
      </c>
    </row>
    <row r="20" spans="1:17" x14ac:dyDescent="0.2">
      <c r="A20" s="5" t="s">
        <v>34</v>
      </c>
      <c r="B20" s="9">
        <v>300</v>
      </c>
      <c r="C20" s="7">
        <v>20</v>
      </c>
      <c r="D20" s="11"/>
      <c r="E20" s="11"/>
      <c r="G20" s="7"/>
      <c r="H20">
        <v>10</v>
      </c>
      <c r="I20" s="7">
        <v>2</v>
      </c>
      <c r="J20">
        <v>300</v>
      </c>
      <c r="K20" s="7">
        <v>50</v>
      </c>
      <c r="M20" s="7"/>
      <c r="O20" s="7"/>
      <c r="Q20" s="7"/>
    </row>
    <row r="21" spans="1:17" x14ac:dyDescent="0.2">
      <c r="A21" s="5" t="s">
        <v>35</v>
      </c>
      <c r="B21" s="9">
        <v>8</v>
      </c>
      <c r="C21" s="7">
        <v>2</v>
      </c>
      <c r="D21" s="11"/>
      <c r="E21" s="11"/>
      <c r="G21" s="7"/>
      <c r="H21" s="9">
        <v>8</v>
      </c>
      <c r="I21" s="7">
        <v>2</v>
      </c>
      <c r="J21">
        <v>1</v>
      </c>
      <c r="K21" s="7">
        <v>2</v>
      </c>
      <c r="M21" s="7"/>
      <c r="O21" s="7"/>
      <c r="Q21" s="7"/>
    </row>
    <row r="22" spans="1:17" x14ac:dyDescent="0.2">
      <c r="A22" s="5" t="s">
        <v>36</v>
      </c>
      <c r="B22" s="9">
        <v>25</v>
      </c>
      <c r="C22" s="7">
        <v>5</v>
      </c>
      <c r="D22" s="11"/>
      <c r="E22" s="11"/>
      <c r="G22" s="7"/>
      <c r="H22" s="9">
        <v>25</v>
      </c>
      <c r="I22" s="7">
        <v>5</v>
      </c>
      <c r="J22">
        <v>50</v>
      </c>
      <c r="K22" s="7">
        <v>25</v>
      </c>
      <c r="M22" s="7"/>
      <c r="O22" s="7"/>
      <c r="Q22" s="7"/>
    </row>
    <row r="23" spans="1:17" x14ac:dyDescent="0.2">
      <c r="A23" s="5" t="s">
        <v>19</v>
      </c>
      <c r="B23" s="9">
        <v>0.1</v>
      </c>
      <c r="C23" s="7">
        <v>0.02</v>
      </c>
      <c r="D23" s="11"/>
      <c r="E23" s="11"/>
      <c r="G23" s="7"/>
      <c r="H23" s="9">
        <v>0.25</v>
      </c>
      <c r="I23" s="7">
        <v>0.05</v>
      </c>
      <c r="J23">
        <v>0.2</v>
      </c>
      <c r="K23" s="7">
        <v>0.01</v>
      </c>
      <c r="L23" s="9">
        <v>0.25</v>
      </c>
      <c r="M23" s="7">
        <v>0.05</v>
      </c>
      <c r="O23" s="7"/>
      <c r="Q23" s="7"/>
    </row>
    <row r="24" spans="1:17" x14ac:dyDescent="0.2">
      <c r="A24" s="5" t="s">
        <v>20</v>
      </c>
      <c r="B24" s="9">
        <v>0.2</v>
      </c>
      <c r="C24" s="7">
        <v>0.02</v>
      </c>
      <c r="D24" s="11"/>
      <c r="E24" s="11"/>
      <c r="G24" s="7"/>
      <c r="H24" s="9">
        <v>0.4</v>
      </c>
      <c r="I24" s="7">
        <v>0.1</v>
      </c>
      <c r="J24">
        <v>0.1</v>
      </c>
      <c r="K24" s="7">
        <v>0.01</v>
      </c>
      <c r="L24" s="9">
        <v>0.4</v>
      </c>
      <c r="M24" s="7">
        <v>0.1</v>
      </c>
      <c r="O24" s="7"/>
      <c r="Q24" s="7"/>
    </row>
    <row r="25" spans="1:17" x14ac:dyDescent="0.2">
      <c r="A25" s="5" t="s">
        <v>21</v>
      </c>
      <c r="B25" s="9">
        <v>0.1</v>
      </c>
      <c r="C25" s="7">
        <v>0.01</v>
      </c>
      <c r="D25" s="11"/>
      <c r="E25" s="11"/>
      <c r="G25" s="7"/>
      <c r="H25" s="9">
        <v>0.1</v>
      </c>
      <c r="I25" s="7">
        <v>0.01</v>
      </c>
      <c r="J25">
        <v>0.5</v>
      </c>
      <c r="K25" s="7">
        <v>0.02</v>
      </c>
      <c r="L25">
        <v>0.25</v>
      </c>
      <c r="M25" s="7">
        <v>0.03</v>
      </c>
      <c r="O25" s="7"/>
      <c r="Q25" s="7"/>
    </row>
    <row r="26" spans="1:17" x14ac:dyDescent="0.2">
      <c r="A26" s="5" t="s">
        <v>22</v>
      </c>
      <c r="B26" s="9">
        <v>0.1</v>
      </c>
      <c r="C26" s="7">
        <v>0.01</v>
      </c>
      <c r="D26" s="11"/>
      <c r="E26" s="11"/>
      <c r="G26" s="7"/>
      <c r="H26" s="9">
        <v>0.15</v>
      </c>
      <c r="I26" s="7">
        <v>0.01</v>
      </c>
      <c r="J26">
        <v>0.02</v>
      </c>
      <c r="K26" s="7">
        <v>1E-3</v>
      </c>
      <c r="L26">
        <v>0.02</v>
      </c>
      <c r="M26" s="7">
        <v>1E-3</v>
      </c>
      <c r="O26" s="7"/>
      <c r="Q26" s="7"/>
    </row>
    <row r="27" spans="1:17" x14ac:dyDescent="0.2">
      <c r="A27" s="5" t="s">
        <v>23</v>
      </c>
      <c r="B27">
        <v>0.25</v>
      </c>
      <c r="C27" s="7">
        <v>0.02</v>
      </c>
      <c r="D27" s="11"/>
      <c r="E27" s="11"/>
      <c r="G27" s="7"/>
      <c r="H27" s="9">
        <v>0.2</v>
      </c>
      <c r="I27" s="7">
        <v>0.02</v>
      </c>
      <c r="J27">
        <v>0.2</v>
      </c>
      <c r="K27" s="7">
        <v>0.01</v>
      </c>
      <c r="L27" s="9">
        <v>0.2</v>
      </c>
      <c r="M27" s="7">
        <v>0.02</v>
      </c>
      <c r="O27" s="7"/>
      <c r="Q27" s="7"/>
    </row>
    <row r="28" spans="1:17" x14ac:dyDescent="0.2">
      <c r="A28" s="5" t="s">
        <v>24</v>
      </c>
      <c r="B28">
        <v>0.05</v>
      </c>
      <c r="C28" s="7">
        <v>1E-3</v>
      </c>
      <c r="D28" s="11"/>
      <c r="E28" s="11"/>
      <c r="G28" s="7"/>
      <c r="H28" s="9">
        <v>0</v>
      </c>
      <c r="I28" s="7">
        <v>0</v>
      </c>
      <c r="J28">
        <v>0.1</v>
      </c>
      <c r="K28" s="7">
        <v>4.0000000000000001E-3</v>
      </c>
      <c r="L28" s="9">
        <v>0.01</v>
      </c>
      <c r="M28" s="7">
        <v>1E-3</v>
      </c>
      <c r="O28" s="7"/>
      <c r="Q28" s="7"/>
    </row>
    <row r="29" spans="1:17" x14ac:dyDescent="0.2">
      <c r="A29" s="5" t="s">
        <v>25</v>
      </c>
      <c r="B29">
        <v>0.9</v>
      </c>
      <c r="C29" s="7"/>
      <c r="D29" s="11"/>
      <c r="E29" s="11"/>
      <c r="G29" s="7"/>
      <c r="H29" s="9">
        <v>0.15</v>
      </c>
      <c r="I29" s="7">
        <v>0.03</v>
      </c>
      <c r="J29">
        <v>0.9</v>
      </c>
      <c r="K29" s="7">
        <v>0.05</v>
      </c>
      <c r="L29" s="9">
        <v>0.5</v>
      </c>
      <c r="M29" s="7">
        <v>0.04</v>
      </c>
      <c r="O29" s="7"/>
      <c r="Q29" s="7"/>
    </row>
    <row r="30" spans="1:17" x14ac:dyDescent="0.2">
      <c r="A30" s="5" t="s">
        <v>26</v>
      </c>
      <c r="B30">
        <v>0.75</v>
      </c>
      <c r="C30" s="7">
        <v>0.1</v>
      </c>
      <c r="D30" s="11"/>
      <c r="E30" s="11"/>
      <c r="G30" s="7"/>
      <c r="H30" s="9">
        <v>0.4</v>
      </c>
      <c r="I30" s="7">
        <v>0.03</v>
      </c>
      <c r="J30" s="9">
        <v>0.4</v>
      </c>
      <c r="K30" s="7">
        <v>0.03</v>
      </c>
      <c r="L30" s="9">
        <v>0.6</v>
      </c>
      <c r="M30" s="7">
        <v>0.05</v>
      </c>
      <c r="O30" s="7"/>
      <c r="Q30" s="7"/>
    </row>
    <row r="31" spans="1:17" x14ac:dyDescent="0.2">
      <c r="A31" s="5" t="s">
        <v>27</v>
      </c>
      <c r="C31" s="7"/>
      <c r="D31" s="11"/>
      <c r="E31" s="11"/>
      <c r="G31" s="7"/>
      <c r="I31" s="7"/>
      <c r="K31" s="7"/>
      <c r="M31" s="7"/>
      <c r="O31" s="7"/>
      <c r="Q31" s="7"/>
    </row>
    <row r="32" spans="1:17" x14ac:dyDescent="0.2">
      <c r="A32" s="5" t="s">
        <v>28</v>
      </c>
      <c r="B32">
        <v>0.25</v>
      </c>
      <c r="C32" s="7">
        <v>0.03</v>
      </c>
      <c r="D32" s="11"/>
      <c r="E32" s="11"/>
      <c r="G32" s="7"/>
      <c r="I32" s="7"/>
      <c r="K32" s="7"/>
      <c r="M32" s="7"/>
      <c r="O32" s="7"/>
      <c r="Q32" s="7"/>
    </row>
    <row r="33" spans="1:13" x14ac:dyDescent="0.2">
      <c r="D33" s="11"/>
      <c r="E33" s="11"/>
    </row>
    <row r="34" spans="1:13" x14ac:dyDescent="0.2">
      <c r="A34" s="5" t="s">
        <v>37</v>
      </c>
      <c r="D34" s="11"/>
      <c r="E34" s="11"/>
    </row>
    <row r="35" spans="1:13" x14ac:dyDescent="0.2">
      <c r="A35" s="5" t="s">
        <v>38</v>
      </c>
      <c r="B35">
        <v>0</v>
      </c>
      <c r="C35">
        <v>0</v>
      </c>
      <c r="D35" s="11"/>
      <c r="E35" s="11"/>
      <c r="H35">
        <v>0.25</v>
      </c>
      <c r="I35">
        <v>0.02</v>
      </c>
      <c r="J35">
        <v>0.01</v>
      </c>
      <c r="K35">
        <v>1E-3</v>
      </c>
      <c r="L35">
        <v>0.01</v>
      </c>
      <c r="M35">
        <v>1E-3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6901-4AF4-724C-A440-5E6E6DDE85B2}">
  <dimension ref="A1:C23"/>
  <sheetViews>
    <sheetView zoomScale="150" zoomScaleNormal="150" workbookViewId="0">
      <selection activeCell="C12" sqref="C2:C12"/>
    </sheetView>
  </sheetViews>
  <sheetFormatPr baseColWidth="10" defaultRowHeight="15" x14ac:dyDescent="0.2"/>
  <sheetData>
    <row r="1" spans="1:3" x14ac:dyDescent="0.2">
      <c r="A1" t="s">
        <v>56</v>
      </c>
      <c r="B1" t="s">
        <v>57</v>
      </c>
      <c r="C1" t="s">
        <v>58</v>
      </c>
    </row>
    <row r="2" spans="1:3" x14ac:dyDescent="0.2">
      <c r="A2" t="s">
        <v>59</v>
      </c>
      <c r="B2">
        <v>2014</v>
      </c>
      <c r="C2">
        <v>32.299999999999997</v>
      </c>
    </row>
    <row r="3" spans="1:3" x14ac:dyDescent="0.2">
      <c r="A3" t="s">
        <v>59</v>
      </c>
      <c r="B3">
        <v>2015</v>
      </c>
      <c r="C3">
        <v>27.3</v>
      </c>
    </row>
    <row r="4" spans="1:3" x14ac:dyDescent="0.2">
      <c r="A4" t="s">
        <v>59</v>
      </c>
      <c r="B4">
        <v>2016</v>
      </c>
      <c r="C4">
        <v>30.2</v>
      </c>
    </row>
    <row r="5" spans="1:3" x14ac:dyDescent="0.2">
      <c r="A5" t="s">
        <v>59</v>
      </c>
      <c r="B5">
        <v>2017</v>
      </c>
      <c r="C5">
        <v>26.7</v>
      </c>
    </row>
    <row r="6" spans="1:3" x14ac:dyDescent="0.2">
      <c r="A6" t="s">
        <v>59</v>
      </c>
      <c r="B6">
        <v>2018</v>
      </c>
      <c r="C6">
        <v>25.4</v>
      </c>
    </row>
    <row r="7" spans="1:3" x14ac:dyDescent="0.2">
      <c r="A7" t="s">
        <v>59</v>
      </c>
      <c r="B7">
        <v>2019</v>
      </c>
      <c r="C7">
        <v>31.8</v>
      </c>
    </row>
    <row r="8" spans="1:3" x14ac:dyDescent="0.2">
      <c r="A8" t="s">
        <v>59</v>
      </c>
      <c r="B8">
        <v>2020</v>
      </c>
      <c r="C8">
        <v>31.2</v>
      </c>
    </row>
    <row r="9" spans="1:3" x14ac:dyDescent="0.2">
      <c r="A9" t="s">
        <v>59</v>
      </c>
      <c r="B9">
        <v>2021</v>
      </c>
      <c r="C9">
        <v>39.200000000000003</v>
      </c>
    </row>
    <row r="10" spans="1:3" x14ac:dyDescent="0.2">
      <c r="A10" t="s">
        <v>59</v>
      </c>
      <c r="B10">
        <v>2022</v>
      </c>
      <c r="C10">
        <v>40.5</v>
      </c>
    </row>
    <row r="11" spans="1:3" x14ac:dyDescent="0.2">
      <c r="A11" t="s">
        <v>59</v>
      </c>
      <c r="B11">
        <v>2023</v>
      </c>
      <c r="C11">
        <v>41.8</v>
      </c>
    </row>
    <row r="12" spans="1:3" x14ac:dyDescent="0.2">
      <c r="A12" t="s">
        <v>59</v>
      </c>
      <c r="B12">
        <v>2024</v>
      </c>
      <c r="C12">
        <v>38</v>
      </c>
    </row>
    <row r="13" spans="1:3" x14ac:dyDescent="0.2">
      <c r="A13" t="s">
        <v>5</v>
      </c>
      <c r="B13">
        <v>2014</v>
      </c>
      <c r="C13">
        <v>10.1</v>
      </c>
    </row>
    <row r="14" spans="1:3" x14ac:dyDescent="0.2">
      <c r="A14" t="s">
        <v>5</v>
      </c>
      <c r="B14">
        <v>2015</v>
      </c>
      <c r="C14">
        <v>8.9499999999999993</v>
      </c>
    </row>
    <row r="15" spans="1:3" x14ac:dyDescent="0.2">
      <c r="A15" t="s">
        <v>5</v>
      </c>
      <c r="B15">
        <v>2016</v>
      </c>
      <c r="C15">
        <v>9.5</v>
      </c>
    </row>
    <row r="16" spans="1:3" x14ac:dyDescent="0.2">
      <c r="A16" t="s">
        <v>5</v>
      </c>
      <c r="B16">
        <v>2017</v>
      </c>
      <c r="C16">
        <v>9.33</v>
      </c>
    </row>
    <row r="17" spans="1:3" x14ac:dyDescent="0.2">
      <c r="A17" t="s">
        <v>5</v>
      </c>
      <c r="B17">
        <v>2018</v>
      </c>
      <c r="C17">
        <v>8.48</v>
      </c>
    </row>
    <row r="18" spans="1:3" x14ac:dyDescent="0.2">
      <c r="A18" t="s">
        <v>5</v>
      </c>
      <c r="B18">
        <v>2019</v>
      </c>
      <c r="C18">
        <v>8.57</v>
      </c>
    </row>
    <row r="19" spans="1:3" x14ac:dyDescent="0.2">
      <c r="A19" t="s">
        <v>5</v>
      </c>
      <c r="B19">
        <v>2020</v>
      </c>
      <c r="C19">
        <v>10.8</v>
      </c>
    </row>
    <row r="20" spans="1:3" x14ac:dyDescent="0.2">
      <c r="A20" t="s">
        <v>5</v>
      </c>
      <c r="B20">
        <v>2021</v>
      </c>
      <c r="C20">
        <v>13</v>
      </c>
    </row>
    <row r="21" spans="1:3" x14ac:dyDescent="0.2">
      <c r="A21" t="s">
        <v>5</v>
      </c>
      <c r="B21">
        <v>2022</v>
      </c>
      <c r="C21">
        <v>14.2</v>
      </c>
    </row>
    <row r="22" spans="1:3" x14ac:dyDescent="0.2">
      <c r="A22" t="s">
        <v>5</v>
      </c>
      <c r="B22">
        <v>2023</v>
      </c>
      <c r="C22">
        <v>12.4</v>
      </c>
    </row>
    <row r="23" spans="1:3" x14ac:dyDescent="0.2">
      <c r="A23" t="s">
        <v>5</v>
      </c>
      <c r="B23">
        <v>2024</v>
      </c>
      <c r="C23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0219-DCE5-6449-A6DD-B017ACE425B8}">
  <dimension ref="A1:C36"/>
  <sheetViews>
    <sheetView topLeftCell="A20" zoomScale="170" zoomScaleNormal="170" workbookViewId="0">
      <selection activeCell="C9" sqref="C9"/>
    </sheetView>
  </sheetViews>
  <sheetFormatPr baseColWidth="10" defaultRowHeight="15" x14ac:dyDescent="0.2"/>
  <cols>
    <col min="1" max="1" width="18.33203125" customWidth="1"/>
  </cols>
  <sheetData>
    <row r="1" spans="1:3" x14ac:dyDescent="0.2">
      <c r="A1" s="5"/>
      <c r="B1" s="13" t="s">
        <v>54</v>
      </c>
      <c r="C1" s="13" t="s">
        <v>46</v>
      </c>
    </row>
    <row r="2" spans="1:3" x14ac:dyDescent="0.2">
      <c r="A2" s="5" t="s">
        <v>7</v>
      </c>
      <c r="B2" t="s">
        <v>45</v>
      </c>
    </row>
    <row r="3" spans="1:3" x14ac:dyDescent="0.2">
      <c r="A3" s="5" t="s">
        <v>11</v>
      </c>
    </row>
    <row r="4" spans="1:3" x14ac:dyDescent="0.2">
      <c r="A4" s="5" t="s">
        <v>40</v>
      </c>
      <c r="B4" t="s">
        <v>52</v>
      </c>
      <c r="C4" t="s">
        <v>47</v>
      </c>
    </row>
    <row r="5" spans="1:3" x14ac:dyDescent="0.2">
      <c r="A5" s="5" t="s">
        <v>39</v>
      </c>
      <c r="B5" t="s">
        <v>53</v>
      </c>
      <c r="C5" t="s">
        <v>47</v>
      </c>
    </row>
    <row r="6" spans="1:3" x14ac:dyDescent="0.2">
      <c r="A6" t="s">
        <v>12</v>
      </c>
    </row>
    <row r="7" spans="1:3" x14ac:dyDescent="0.2">
      <c r="A7" s="5" t="s">
        <v>13</v>
      </c>
    </row>
    <row r="8" spans="1:3" x14ac:dyDescent="0.2">
      <c r="A8" s="5" t="s">
        <v>14</v>
      </c>
    </row>
    <row r="9" spans="1:3" x14ac:dyDescent="0.2">
      <c r="A9" s="5" t="s">
        <v>15</v>
      </c>
    </row>
    <row r="10" spans="1:3" x14ac:dyDescent="0.2">
      <c r="A10" s="5" t="s">
        <v>16</v>
      </c>
    </row>
    <row r="11" spans="1:3" x14ac:dyDescent="0.2">
      <c r="A11" s="5" t="s">
        <v>17</v>
      </c>
    </row>
    <row r="12" spans="1:3" x14ac:dyDescent="0.2">
      <c r="A12" s="5" t="s">
        <v>18</v>
      </c>
      <c r="B12" t="s">
        <v>48</v>
      </c>
    </row>
    <row r="13" spans="1:3" x14ac:dyDescent="0.2">
      <c r="A13" s="5" t="s">
        <v>33</v>
      </c>
      <c r="B13" t="s">
        <v>48</v>
      </c>
    </row>
    <row r="14" spans="1:3" x14ac:dyDescent="0.2">
      <c r="A14" s="5" t="s">
        <v>34</v>
      </c>
      <c r="B14" t="s">
        <v>48</v>
      </c>
    </row>
    <row r="15" spans="1:3" x14ac:dyDescent="0.2">
      <c r="A15" s="5" t="s">
        <v>35</v>
      </c>
      <c r="B15" t="s">
        <v>51</v>
      </c>
    </row>
    <row r="16" spans="1:3" x14ac:dyDescent="0.2">
      <c r="A16" s="5" t="s">
        <v>36</v>
      </c>
      <c r="B16" t="s">
        <v>50</v>
      </c>
    </row>
    <row r="17" spans="1:2" x14ac:dyDescent="0.2">
      <c r="A17" s="5" t="s">
        <v>19</v>
      </c>
      <c r="B17" t="s">
        <v>49</v>
      </c>
    </row>
    <row r="18" spans="1:2" x14ac:dyDescent="0.2">
      <c r="A18" s="5" t="s">
        <v>20</v>
      </c>
      <c r="B18" t="s">
        <v>49</v>
      </c>
    </row>
    <row r="19" spans="1:2" x14ac:dyDescent="0.2">
      <c r="A19" s="5" t="s">
        <v>21</v>
      </c>
      <c r="B19" t="s">
        <v>49</v>
      </c>
    </row>
    <row r="20" spans="1:2" x14ac:dyDescent="0.2">
      <c r="A20" s="5" t="s">
        <v>22</v>
      </c>
      <c r="B20" t="s">
        <v>49</v>
      </c>
    </row>
    <row r="21" spans="1:2" x14ac:dyDescent="0.2">
      <c r="A21" s="5" t="s">
        <v>23</v>
      </c>
      <c r="B21" t="s">
        <v>49</v>
      </c>
    </row>
    <row r="22" spans="1:2" x14ac:dyDescent="0.2">
      <c r="A22" s="5" t="s">
        <v>24</v>
      </c>
      <c r="B22" t="s">
        <v>49</v>
      </c>
    </row>
    <row r="23" spans="1:2" x14ac:dyDescent="0.2">
      <c r="A23" s="5" t="s">
        <v>25</v>
      </c>
      <c r="B23" t="s">
        <v>49</v>
      </c>
    </row>
    <row r="24" spans="1:2" x14ac:dyDescent="0.2">
      <c r="A24" s="5" t="s">
        <v>26</v>
      </c>
      <c r="B24" t="s">
        <v>49</v>
      </c>
    </row>
    <row r="25" spans="1:2" x14ac:dyDescent="0.2">
      <c r="A25" s="5" t="s">
        <v>27</v>
      </c>
      <c r="B25" t="s">
        <v>49</v>
      </c>
    </row>
    <row r="26" spans="1:2" x14ac:dyDescent="0.2">
      <c r="A26" s="5" t="s">
        <v>28</v>
      </c>
      <c r="B26" t="s">
        <v>49</v>
      </c>
    </row>
    <row r="28" spans="1:2" x14ac:dyDescent="0.2">
      <c r="A28" s="5" t="s">
        <v>37</v>
      </c>
    </row>
    <row r="29" spans="1:2" x14ac:dyDescent="0.2">
      <c r="A29" s="5" t="s">
        <v>38</v>
      </c>
      <c r="B29" t="s">
        <v>49</v>
      </c>
    </row>
    <row r="31" spans="1:2" x14ac:dyDescent="0.2">
      <c r="A31" s="5" t="s">
        <v>55</v>
      </c>
    </row>
    <row r="32" spans="1:2" x14ac:dyDescent="0.2">
      <c r="A32" s="12" t="s">
        <v>41</v>
      </c>
    </row>
    <row r="33" spans="1:1" x14ac:dyDescent="0.2">
      <c r="A33" s="12" t="s">
        <v>42</v>
      </c>
    </row>
    <row r="34" spans="1:1" x14ac:dyDescent="0.2">
      <c r="A34" s="12" t="s">
        <v>43</v>
      </c>
    </row>
    <row r="35" spans="1:1" x14ac:dyDescent="0.2">
      <c r="A35" s="12"/>
    </row>
    <row r="36" spans="1:1" x14ac:dyDescent="0.2">
      <c r="A36" s="12" t="s">
        <v>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fake_data</vt:lpstr>
      <vt:lpstr>price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Boone,Randall</dc:creator>
  <cp:lastModifiedBy>Allison Bauman</cp:lastModifiedBy>
  <dcterms:created xsi:type="dcterms:W3CDTF">2025-06-24T16:45:57Z</dcterms:created>
  <dcterms:modified xsi:type="dcterms:W3CDTF">2025-09-04T18:00:56Z</dcterms:modified>
</cp:coreProperties>
</file>