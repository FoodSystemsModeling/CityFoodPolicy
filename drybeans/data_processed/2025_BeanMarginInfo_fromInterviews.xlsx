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g24/Library/CloudStorage/Box-Box/Research/CityFoodPolicy/2023.NYC_FFARRockefeller/research/dry_beans/model_input/data/data_processed/"/>
    </mc:Choice>
  </mc:AlternateContent>
  <xr:revisionPtr revIDLastSave="0" documentId="13_ncr:1_{9E044CB3-7951-3F4F-A078-DA29725391F6}" xr6:coauthVersionLast="47" xr6:coauthVersionMax="47" xr10:uidLastSave="{00000000-0000-0000-0000-000000000000}"/>
  <bookViews>
    <workbookView xWindow="-35360" yWindow="1680" windowWidth="24140" windowHeight="15000" xr2:uid="{9CBC5B65-26D2-42E4-8DBE-7728E28D7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5" i="1"/>
  <c r="G11" i="1"/>
  <c r="F11" i="1"/>
</calcChain>
</file>

<file path=xl/sharedStrings.xml><?xml version="1.0" encoding="utf-8"?>
<sst xmlns="http://schemas.openxmlformats.org/spreadsheetml/2006/main" count="96" uniqueCount="74">
  <si>
    <t>Order Size (Typical)</t>
  </si>
  <si>
    <t>~4 pallets (~3,000 lbs)</t>
  </si>
  <si>
    <t>Retail Pack Price</t>
  </si>
  <si>
    <t>~$3.99 per 4-burger pack</t>
  </si>
  <si>
    <t>Bulk Pricing</t>
  </si>
  <si>
    <t>Negotiated, lower than retail</t>
  </si>
  <si>
    <t>DOE/DOC Target</t>
  </si>
  <si>
    <t>Competitive with existing soy/vegan burger pricing</t>
  </si>
  <si>
    <t>Margins</t>
  </si>
  <si>
    <t>Goal: 20–25%, Institutional: 8–10%</t>
  </si>
  <si>
    <t>Customer Mix</t>
  </si>
  <si>
    <t>85% Foodservice; 15% Retail; Food service are incredibly thin margins and volume based</t>
  </si>
  <si>
    <t xml:space="preserve">6-10% of final price goes to the processor. Tight market equals increased margins. </t>
  </si>
  <si>
    <t xml:space="preserve">For the cleaner/aggregator- size of order impacts price/margin based on bagging costs, incluing the bags, so a 2000lb tote has a higher margin than 25 lb bags. </t>
  </si>
  <si>
    <t>Furmanos (Primary)</t>
  </si>
  <si>
    <t>Seneca Grain  (Cleaner/Aggregator)</t>
  </si>
  <si>
    <t>Wild Kale (Secondary via Mr. Pierogi)</t>
  </si>
  <si>
    <t>Price to farmer is based on sale price to canner</t>
  </si>
  <si>
    <t>Peter undercuts competitors and is still able to get a good margin (looks at rice of UNFI and Azure Standard)</t>
  </si>
  <si>
    <t>13.5 cents/lb for the cleaning</t>
  </si>
  <si>
    <t>higher margins to smaller sales that differentitae</t>
  </si>
  <si>
    <t>Unipak (Primary)</t>
  </si>
  <si>
    <r>
      <rPr>
        <sz val="11"/>
        <color theme="1"/>
        <rFont val="Arial"/>
        <family val="2"/>
      </rPr>
      <t>15-20% target.</t>
    </r>
    <r>
      <rPr>
        <sz val="10.5"/>
        <color theme="1"/>
        <rFont val="Courier New"/>
        <family val="3"/>
      </rPr>
      <t xml:space="preserve"> </t>
    </r>
  </si>
  <si>
    <t>GVB (Cleaner/Aggregator)</t>
  </si>
  <si>
    <t>Storage</t>
  </si>
  <si>
    <t>Length of storage must be factored into price and effects overall margin</t>
  </si>
  <si>
    <t>Margin</t>
  </si>
  <si>
    <t>Tries to keep it to $.06/lb but will go down to $.03 in tough markets</t>
  </si>
  <si>
    <t>Big boys look at the price of corn and soy and then set their bean prices for the year</t>
  </si>
  <si>
    <t>NY Bean (Cleaner/Aggregator)</t>
  </si>
  <si>
    <t>Notes</t>
  </si>
  <si>
    <t>PricingSeptember/October purchase</t>
  </si>
  <si>
    <t>Breakdown on a 50lb bag: Grower receives $52; Cleaner $5; $57 price out the door</t>
  </si>
  <si>
    <t>Mr. Pierogi (Secondary)</t>
  </si>
  <si>
    <t xml:space="preserve">For NYC Agency bids the margin is tiny but Volume is the goal </t>
  </si>
  <si>
    <t>GrowNYC (Wholesaler)</t>
  </si>
  <si>
    <t>Avg mark up of 35% yields roughly at 24% margin</t>
  </si>
  <si>
    <t xml:space="preserve">OGS- Bush Beans and Formanos- $7 difference in case price. Cofusing to them as a competitor. </t>
  </si>
  <si>
    <t xml:space="preserve">Price is set by Cleaner. Bagging costs cut into margin. 15-20 cents per unit depending on branding of the bag. </t>
  </si>
  <si>
    <t>Dry Beans: 26-30% mark up, 20-21% Gross margin</t>
  </si>
  <si>
    <t>USDA bids- 15 truck loads- 8-10% margin with a 8-10 cent per bag (have never ben awarded one of these)</t>
  </si>
  <si>
    <t>15-25 cents/bag for a $27 for a 12x2 case for the copacker</t>
  </si>
  <si>
    <t>Headwater Foods (Wholesaler) 53minute mark</t>
  </si>
  <si>
    <t>6-10% for the value added</t>
  </si>
  <si>
    <t>Production Just in time to minimze storage costs and in case the Agency doesn't take to what it committed; transportation costs can greatly effect margin</t>
  </si>
  <si>
    <t>Common Market (Wholesaler)</t>
  </si>
  <si>
    <t>Her only comment was they apply a 40% mark up on canned beans</t>
  </si>
  <si>
    <t>Hudson Harvest (Wholesaler)</t>
  </si>
  <si>
    <t>Matriark Foods (Secondary)</t>
  </si>
  <si>
    <t>40-45% institutional; 20% retail due to the slotting and marketing costs</t>
  </si>
  <si>
    <t>Black Bean Prices: 25lb bulk (Institutional sales): $22 conventional/$44 Organic</t>
  </si>
  <si>
    <t>15 1lb bags (Retail Sales): $30 conventional/$42 organic</t>
  </si>
  <si>
    <t>Does not believe there is an organic option for bids due to prices and shorter shelf life</t>
  </si>
  <si>
    <t xml:space="preserve">Length of bid they can hurt on margin due to fluctuation of prices. Longer contracts are much more volatile. </t>
  </si>
  <si>
    <t xml:space="preserve">Weather can impact margins both on production (availability) </t>
  </si>
  <si>
    <t>Freight can add $3-$4 per box</t>
  </si>
  <si>
    <t>Gargiulo (Wholesaler and DOD contracts with DOE)</t>
  </si>
  <si>
    <t xml:space="preserve">Margins are much smaller on Bids than private sector (25% of their overall business is public); priced as low as possible to still be profitable. They go after most produce bids. </t>
  </si>
  <si>
    <t>Margins on the food they process is smaller than whole product (leafy green)</t>
  </si>
  <si>
    <t>Farmer got paid $0.75 per lb for conventional and $1.05 for organic</t>
  </si>
  <si>
    <t>margin</t>
  </si>
  <si>
    <t>compute margin</t>
  </si>
  <si>
    <t>organic margin</t>
  </si>
  <si>
    <t>Differentiated</t>
  </si>
  <si>
    <t>Not differentiated</t>
  </si>
  <si>
    <t>Furmanos Wholesale price</t>
  </si>
  <si>
    <t>subtract their spread that around 5%</t>
  </si>
  <si>
    <t>outside of NY beans</t>
  </si>
  <si>
    <t>national farmer price</t>
  </si>
  <si>
    <t>then use these to get the cleaner price</t>
  </si>
  <si>
    <t>likely consident with GVB</t>
  </si>
  <si>
    <t>Canning</t>
  </si>
  <si>
    <t>Dry beans only - bagging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</si>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</sst>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.5"/>
      <color theme="1"/>
      <name val="Courier New"/>
      <family val="3"/>
    </font>
    <font>
      <sz val="10.5"/>
      <color theme="1"/>
      <name val="Arial"/>
      <family val="2"/>
    </font>
    <font>
      <sz val="10.5"/>
      <color theme="1"/>
      <name val="Courier New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46" fontId="1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6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0B73-C3EC-430D-B388-8121BA580308}">
  <dimension ref="A1:G177"/>
  <sheetViews>
    <sheetView tabSelected="1" topLeftCell="A33" workbookViewId="0">
      <selection activeCell="B44" sqref="B44"/>
    </sheetView>
  </sheetViews>
  <sheetFormatPr baseColWidth="10" defaultColWidth="22.1640625" defaultRowHeight="22" customHeight="1" x14ac:dyDescent="0.15"/>
  <cols>
    <col min="1" max="1" width="26.33203125" style="1" customWidth="1"/>
    <col min="2" max="16384" width="22.1640625" style="1"/>
  </cols>
  <sheetData>
    <row r="1" spans="1:7" ht="22" customHeight="1" x14ac:dyDescent="0.15">
      <c r="A1" s="2" t="s">
        <v>15</v>
      </c>
      <c r="B1" s="3"/>
    </row>
    <row r="2" spans="1:7" ht="22" customHeight="1" x14ac:dyDescent="0.15">
      <c r="A2" s="1" t="s">
        <v>8</v>
      </c>
      <c r="B2" s="5" t="s">
        <v>13</v>
      </c>
      <c r="C2" s="5"/>
    </row>
    <row r="3" spans="1:7" ht="22" customHeight="1" x14ac:dyDescent="0.15">
      <c r="B3" s="7" t="s">
        <v>17</v>
      </c>
      <c r="C3" s="5"/>
    </row>
    <row r="4" spans="1:7" ht="22" customHeight="1" x14ac:dyDescent="0.15">
      <c r="B4" s="7" t="s">
        <v>18</v>
      </c>
      <c r="C4" s="5"/>
    </row>
    <row r="5" spans="1:7" ht="22" customHeight="1" x14ac:dyDescent="0.15">
      <c r="B5" s="7" t="s">
        <v>19</v>
      </c>
      <c r="C5" s="5"/>
      <c r="E5" s="1" t="s">
        <v>62</v>
      </c>
      <c r="F5" s="11">
        <f>0.135/(1.05+0.135)</f>
        <v>0.11392405063291139</v>
      </c>
    </row>
    <row r="6" spans="1:7" ht="22" customHeight="1" x14ac:dyDescent="0.15">
      <c r="B6" s="7" t="s">
        <v>20</v>
      </c>
    </row>
    <row r="7" spans="1:7" ht="22" customHeight="1" x14ac:dyDescent="0.15">
      <c r="A7" s="1" t="s">
        <v>24</v>
      </c>
      <c r="B7" s="7" t="s">
        <v>25</v>
      </c>
    </row>
    <row r="8" spans="1:7" ht="22" customHeight="1" x14ac:dyDescent="0.15">
      <c r="B8" s="7" t="s">
        <v>59</v>
      </c>
    </row>
    <row r="9" spans="1:7" ht="22" customHeight="1" x14ac:dyDescent="0.15">
      <c r="B9" s="7"/>
    </row>
    <row r="10" spans="1:7" ht="22" customHeight="1" x14ac:dyDescent="0.15">
      <c r="A10" s="2" t="s">
        <v>23</v>
      </c>
      <c r="B10" s="9" t="s">
        <v>63</v>
      </c>
    </row>
    <row r="11" spans="1:7" ht="22" customHeight="1" x14ac:dyDescent="0.15">
      <c r="A11" s="1" t="s">
        <v>26</v>
      </c>
      <c r="B11" s="7" t="s">
        <v>27</v>
      </c>
      <c r="E11" s="1" t="s">
        <v>60</v>
      </c>
      <c r="F11" s="11">
        <f>0.03/0.75</f>
        <v>0.04</v>
      </c>
      <c r="G11" s="11">
        <f>0.06/0.75</f>
        <v>0.08</v>
      </c>
    </row>
    <row r="12" spans="1:7" ht="22" customHeight="1" x14ac:dyDescent="0.15">
      <c r="A12" s="2"/>
      <c r="B12" s="7" t="s">
        <v>28</v>
      </c>
    </row>
    <row r="13" spans="1:7" ht="22" customHeight="1" x14ac:dyDescent="0.15">
      <c r="A13" s="1" t="s">
        <v>24</v>
      </c>
      <c r="B13" s="7" t="s">
        <v>25</v>
      </c>
    </row>
    <row r="14" spans="1:7" ht="22" customHeight="1" x14ac:dyDescent="0.15">
      <c r="B14" s="7"/>
    </row>
    <row r="15" spans="1:7" ht="22" customHeight="1" x14ac:dyDescent="0.15">
      <c r="A15" s="2" t="s">
        <v>29</v>
      </c>
      <c r="B15" s="7" t="s">
        <v>64</v>
      </c>
    </row>
    <row r="16" spans="1:7" ht="22" customHeight="1" x14ac:dyDescent="0.15">
      <c r="A16" s="1" t="s">
        <v>8</v>
      </c>
      <c r="B16" s="7" t="s">
        <v>32</v>
      </c>
      <c r="F16" s="1" t="s">
        <v>61</v>
      </c>
      <c r="G16" s="11">
        <f>5/57</f>
        <v>8.771929824561403E-2</v>
      </c>
    </row>
    <row r="17" spans="1:3" ht="22" customHeight="1" x14ac:dyDescent="0.15">
      <c r="A17" s="1" t="s">
        <v>30</v>
      </c>
      <c r="B17" s="7" t="s">
        <v>31</v>
      </c>
    </row>
    <row r="18" spans="1:3" ht="22" customHeight="1" x14ac:dyDescent="0.15">
      <c r="B18" s="3"/>
    </row>
    <row r="19" spans="1:3" ht="22" customHeight="1" x14ac:dyDescent="0.15">
      <c r="A19" s="2" t="s">
        <v>21</v>
      </c>
      <c r="B19" s="1" t="s">
        <v>72</v>
      </c>
      <c r="C19" s="1" t="s">
        <v>73</v>
      </c>
    </row>
    <row r="20" spans="1:3" ht="22" customHeight="1" x14ac:dyDescent="0.2">
      <c r="A20" s="1" t="s">
        <v>8</v>
      </c>
      <c r="B20" s="8" t="s">
        <v>22</v>
      </c>
    </row>
    <row r="21" spans="1:3" ht="22" customHeight="1" x14ac:dyDescent="0.15">
      <c r="B21" s="3"/>
    </row>
    <row r="22" spans="1:3" ht="22" customHeight="1" x14ac:dyDescent="0.15">
      <c r="A22" s="2" t="s">
        <v>14</v>
      </c>
      <c r="B22" s="6" t="s">
        <v>71</v>
      </c>
    </row>
    <row r="23" spans="1:3" ht="22" customHeight="1" x14ac:dyDescent="0.15">
      <c r="A23" s="1" t="s">
        <v>10</v>
      </c>
      <c r="B23" s="1" t="s">
        <v>11</v>
      </c>
    </row>
    <row r="24" spans="1:3" ht="22" customHeight="1" x14ac:dyDescent="0.15">
      <c r="A24" s="1" t="s">
        <v>8</v>
      </c>
      <c r="B24" s="5" t="s">
        <v>12</v>
      </c>
    </row>
    <row r="25" spans="1:3" ht="22" customHeight="1" x14ac:dyDescent="0.15">
      <c r="B25" s="3"/>
    </row>
    <row r="26" spans="1:3" ht="22" customHeight="1" x14ac:dyDescent="0.15">
      <c r="A26" s="2" t="s">
        <v>16</v>
      </c>
      <c r="B26" s="1" t="s">
        <v>63</v>
      </c>
      <c r="C26" s="1" t="s">
        <v>73</v>
      </c>
    </row>
    <row r="27" spans="1:3" ht="22" customHeight="1" x14ac:dyDescent="0.15">
      <c r="A27" s="1" t="s">
        <v>0</v>
      </c>
      <c r="B27" s="1" t="s">
        <v>1</v>
      </c>
    </row>
    <row r="28" spans="1:3" ht="22" customHeight="1" x14ac:dyDescent="0.15">
      <c r="A28" s="1" t="s">
        <v>2</v>
      </c>
      <c r="B28" s="1" t="s">
        <v>3</v>
      </c>
    </row>
    <row r="29" spans="1:3" ht="22" customHeight="1" x14ac:dyDescent="0.15">
      <c r="A29" s="1" t="s">
        <v>4</v>
      </c>
      <c r="B29" s="1" t="s">
        <v>5</v>
      </c>
    </row>
    <row r="30" spans="1:3" ht="22" customHeight="1" x14ac:dyDescent="0.15">
      <c r="A30" s="1" t="s">
        <v>6</v>
      </c>
      <c r="B30" s="1" t="s">
        <v>7</v>
      </c>
    </row>
    <row r="31" spans="1:3" ht="22" customHeight="1" x14ac:dyDescent="0.15">
      <c r="A31" s="1" t="s">
        <v>8</v>
      </c>
      <c r="B31" s="1" t="s">
        <v>9</v>
      </c>
    </row>
    <row r="33" spans="1:2" ht="22" customHeight="1" x14ac:dyDescent="0.15">
      <c r="A33" s="2" t="s">
        <v>33</v>
      </c>
      <c r="B33" s="3"/>
    </row>
    <row r="34" spans="1:2" ht="22" customHeight="1" x14ac:dyDescent="0.15">
      <c r="A34" s="1" t="s">
        <v>8</v>
      </c>
      <c r="B34" s="1" t="s">
        <v>34</v>
      </c>
    </row>
    <row r="35" spans="1:2" ht="22" customHeight="1" x14ac:dyDescent="0.15">
      <c r="A35" s="1" t="s">
        <v>30</v>
      </c>
      <c r="B35" s="5" t="s">
        <v>44</v>
      </c>
    </row>
    <row r="36" spans="1:2" ht="22" customHeight="1" x14ac:dyDescent="0.15">
      <c r="B36" s="5"/>
    </row>
    <row r="37" spans="1:2" ht="22" customHeight="1" x14ac:dyDescent="0.15">
      <c r="A37" s="2" t="s">
        <v>48</v>
      </c>
      <c r="B37" s="5" t="s">
        <v>63</v>
      </c>
    </row>
    <row r="38" spans="1:2" ht="22" customHeight="1" x14ac:dyDescent="0.15">
      <c r="A38" s="1" t="s">
        <v>8</v>
      </c>
      <c r="B38" s="5" t="s">
        <v>49</v>
      </c>
    </row>
    <row r="39" spans="1:2" ht="22" customHeight="1" x14ac:dyDescent="0.15">
      <c r="B39" s="3"/>
    </row>
    <row r="40" spans="1:2" ht="22" customHeight="1" x14ac:dyDescent="0.15">
      <c r="A40" s="2" t="s">
        <v>35</v>
      </c>
      <c r="B40" s="3" t="s">
        <v>63</v>
      </c>
    </row>
    <row r="41" spans="1:2" ht="22" customHeight="1" x14ac:dyDescent="0.15">
      <c r="A41" s="1" t="s">
        <v>26</v>
      </c>
      <c r="B41" s="5" t="s">
        <v>36</v>
      </c>
    </row>
    <row r="42" spans="1:2" ht="22" customHeight="1" x14ac:dyDescent="0.15">
      <c r="B42" s="3"/>
    </row>
    <row r="43" spans="1:2" ht="22" customHeight="1" x14ac:dyDescent="0.15">
      <c r="A43" s="2" t="s">
        <v>42</v>
      </c>
      <c r="B43" s="3"/>
    </row>
    <row r="44" spans="1:2" ht="22" customHeight="1" x14ac:dyDescent="0.15">
      <c r="A44" s="1" t="s">
        <v>26</v>
      </c>
      <c r="B44" s="10" t="s">
        <v>39</v>
      </c>
    </row>
    <row r="45" spans="1:2" ht="22" customHeight="1" x14ac:dyDescent="0.15">
      <c r="B45" s="10" t="s">
        <v>40</v>
      </c>
    </row>
    <row r="46" spans="1:2" ht="22" customHeight="1" x14ac:dyDescent="0.15">
      <c r="B46" s="10" t="s">
        <v>41</v>
      </c>
    </row>
    <row r="47" spans="1:2" ht="22" customHeight="1" x14ac:dyDescent="0.15">
      <c r="B47" s="5" t="s">
        <v>43</v>
      </c>
    </row>
    <row r="48" spans="1:2" ht="22" customHeight="1" x14ac:dyDescent="0.15">
      <c r="A48" s="1" t="s">
        <v>30</v>
      </c>
      <c r="B48" s="5" t="s">
        <v>38</v>
      </c>
    </row>
    <row r="49" spans="1:3" ht="22" customHeight="1" x14ac:dyDescent="0.15">
      <c r="B49" s="5" t="s">
        <v>37</v>
      </c>
    </row>
    <row r="50" spans="1:3" ht="22" customHeight="1" x14ac:dyDescent="0.15">
      <c r="B50" s="3"/>
    </row>
    <row r="51" spans="1:3" ht="22" customHeight="1" x14ac:dyDescent="0.15">
      <c r="A51" s="2" t="s">
        <v>45</v>
      </c>
      <c r="B51" s="3" t="s">
        <v>63</v>
      </c>
    </row>
    <row r="52" spans="1:3" ht="22" customHeight="1" x14ac:dyDescent="0.15">
      <c r="A52" s="1" t="s">
        <v>26</v>
      </c>
      <c r="B52" s="5" t="s">
        <v>46</v>
      </c>
    </row>
    <row r="53" spans="1:3" ht="22" customHeight="1" x14ac:dyDescent="0.15">
      <c r="B53" s="3"/>
    </row>
    <row r="54" spans="1:3" ht="22" customHeight="1" x14ac:dyDescent="0.15">
      <c r="A54" s="2" t="s">
        <v>47</v>
      </c>
      <c r="B54" s="3"/>
    </row>
    <row r="55" spans="1:3" ht="22" customHeight="1" x14ac:dyDescent="0.15">
      <c r="A55" s="1" t="s">
        <v>26</v>
      </c>
      <c r="B55" s="3"/>
    </row>
    <row r="56" spans="1:3" ht="22" customHeight="1" x14ac:dyDescent="0.15">
      <c r="A56" s="1" t="s">
        <v>30</v>
      </c>
      <c r="B56" s="5" t="s">
        <v>50</v>
      </c>
    </row>
    <row r="57" spans="1:3" ht="22" customHeight="1" x14ac:dyDescent="0.15">
      <c r="B57" s="3"/>
      <c r="C57" s="1" t="s">
        <v>51</v>
      </c>
    </row>
    <row r="58" spans="1:3" ht="22" customHeight="1" x14ac:dyDescent="0.15">
      <c r="A58" s="2" t="s">
        <v>56</v>
      </c>
      <c r="B58" s="3"/>
    </row>
    <row r="59" spans="1:3" ht="22" customHeight="1" x14ac:dyDescent="0.15">
      <c r="A59" s="1" t="s">
        <v>26</v>
      </c>
      <c r="B59" s="1" t="s">
        <v>57</v>
      </c>
    </row>
    <row r="60" spans="1:3" ht="22" customHeight="1" x14ac:dyDescent="0.15">
      <c r="A60" s="1" t="s">
        <v>30</v>
      </c>
      <c r="B60" s="5" t="s">
        <v>52</v>
      </c>
    </row>
    <row r="61" spans="1:3" ht="22" customHeight="1" x14ac:dyDescent="0.15">
      <c r="B61" s="4" t="s">
        <v>53</v>
      </c>
    </row>
    <row r="62" spans="1:3" ht="22" customHeight="1" x14ac:dyDescent="0.15">
      <c r="B62" s="5" t="s">
        <v>54</v>
      </c>
    </row>
    <row r="63" spans="1:3" ht="22" customHeight="1" x14ac:dyDescent="0.15">
      <c r="B63" s="5" t="s">
        <v>55</v>
      </c>
    </row>
    <row r="64" spans="1:3" ht="22" customHeight="1" x14ac:dyDescent="0.15">
      <c r="B64" s="5" t="s">
        <v>58</v>
      </c>
    </row>
    <row r="65" spans="1:4" ht="22" customHeight="1" x14ac:dyDescent="0.15">
      <c r="B65" s="3"/>
    </row>
    <row r="66" spans="1:4" ht="22" customHeight="1" x14ac:dyDescent="0.15">
      <c r="B66" s="3"/>
    </row>
    <row r="67" spans="1:4" ht="22" customHeight="1" x14ac:dyDescent="0.15">
      <c r="B67" s="3"/>
    </row>
    <row r="68" spans="1:4" ht="22" customHeight="1" x14ac:dyDescent="0.15">
      <c r="A68" s="1" t="s">
        <v>67</v>
      </c>
      <c r="B68" s="3"/>
    </row>
    <row r="69" spans="1:4" ht="22" customHeight="1" x14ac:dyDescent="0.15">
      <c r="A69" s="1" t="s">
        <v>65</v>
      </c>
      <c r="B69" s="3" t="s">
        <v>66</v>
      </c>
      <c r="C69" s="1" t="s">
        <v>68</v>
      </c>
      <c r="D69" s="1" t="s">
        <v>69</v>
      </c>
    </row>
    <row r="70" spans="1:4" ht="22" customHeight="1" x14ac:dyDescent="0.15">
      <c r="A70" s="1" t="s">
        <v>70</v>
      </c>
    </row>
    <row r="71" spans="1:4" ht="22" customHeight="1" x14ac:dyDescent="0.15">
      <c r="B71" s="3"/>
    </row>
    <row r="72" spans="1:4" ht="22" customHeight="1" x14ac:dyDescent="0.15">
      <c r="B72" s="3"/>
    </row>
    <row r="73" spans="1:4" ht="22" customHeight="1" x14ac:dyDescent="0.15">
      <c r="B73" s="3"/>
    </row>
    <row r="74" spans="1:4" ht="22" customHeight="1" x14ac:dyDescent="0.15">
      <c r="B74" s="3"/>
    </row>
    <row r="75" spans="1:4" ht="22" customHeight="1" x14ac:dyDescent="0.15">
      <c r="B75" s="3"/>
    </row>
    <row r="76" spans="1:4" ht="22" customHeight="1" x14ac:dyDescent="0.15">
      <c r="B76" s="3"/>
    </row>
    <row r="77" spans="1:4" ht="22" customHeight="1" x14ac:dyDescent="0.15">
      <c r="B77" s="3"/>
    </row>
    <row r="78" spans="1:4" ht="22" customHeight="1" x14ac:dyDescent="0.15">
      <c r="B78" s="3"/>
    </row>
    <row r="79" spans="1:4" ht="22" customHeight="1" x14ac:dyDescent="0.15">
      <c r="B79" s="3"/>
    </row>
    <row r="80" spans="1:4" ht="22" customHeight="1" x14ac:dyDescent="0.15">
      <c r="B80" s="3"/>
    </row>
    <row r="81" spans="2:2" ht="22" customHeight="1" x14ac:dyDescent="0.15">
      <c r="B81" s="3"/>
    </row>
    <row r="82" spans="2:2" ht="22" customHeight="1" x14ac:dyDescent="0.15">
      <c r="B82" s="3"/>
    </row>
    <row r="83" spans="2:2" ht="22" customHeight="1" x14ac:dyDescent="0.15">
      <c r="B83" s="3"/>
    </row>
    <row r="84" spans="2:2" ht="22" customHeight="1" x14ac:dyDescent="0.15">
      <c r="B84" s="3"/>
    </row>
    <row r="85" spans="2:2" ht="22" customHeight="1" x14ac:dyDescent="0.15">
      <c r="B85" s="3"/>
    </row>
    <row r="86" spans="2:2" ht="22" customHeight="1" x14ac:dyDescent="0.15">
      <c r="B86" s="3"/>
    </row>
    <row r="87" spans="2:2" ht="22" customHeight="1" x14ac:dyDescent="0.15">
      <c r="B87" s="3"/>
    </row>
    <row r="88" spans="2:2" ht="22" customHeight="1" x14ac:dyDescent="0.15">
      <c r="B88" s="3"/>
    </row>
    <row r="89" spans="2:2" ht="22" customHeight="1" x14ac:dyDescent="0.15">
      <c r="B89" s="3"/>
    </row>
    <row r="90" spans="2:2" ht="22" customHeight="1" x14ac:dyDescent="0.15">
      <c r="B90" s="3"/>
    </row>
    <row r="91" spans="2:2" ht="22" customHeight="1" x14ac:dyDescent="0.15">
      <c r="B91" s="3"/>
    </row>
    <row r="92" spans="2:2" ht="22" customHeight="1" x14ac:dyDescent="0.15">
      <c r="B92" s="3"/>
    </row>
    <row r="93" spans="2:2" ht="22" customHeight="1" x14ac:dyDescent="0.15">
      <c r="B93" s="3"/>
    </row>
    <row r="94" spans="2:2" ht="22" customHeight="1" x14ac:dyDescent="0.15">
      <c r="B94" s="3"/>
    </row>
    <row r="95" spans="2:2" ht="22" customHeight="1" x14ac:dyDescent="0.15">
      <c r="B95" s="3"/>
    </row>
    <row r="96" spans="2:2" ht="22" customHeight="1" x14ac:dyDescent="0.15">
      <c r="B96" s="3"/>
    </row>
    <row r="97" spans="2:2" ht="22" customHeight="1" x14ac:dyDescent="0.15">
      <c r="B97" s="3"/>
    </row>
    <row r="98" spans="2:2" ht="22" customHeight="1" x14ac:dyDescent="0.15">
      <c r="B98" s="3"/>
    </row>
    <row r="99" spans="2:2" ht="22" customHeight="1" x14ac:dyDescent="0.15">
      <c r="B99" s="3"/>
    </row>
    <row r="100" spans="2:2" ht="22" customHeight="1" x14ac:dyDescent="0.15">
      <c r="B100" s="3"/>
    </row>
    <row r="101" spans="2:2" ht="22" customHeight="1" x14ac:dyDescent="0.15">
      <c r="B101" s="3"/>
    </row>
    <row r="102" spans="2:2" ht="22" customHeight="1" x14ac:dyDescent="0.15">
      <c r="B102" s="3"/>
    </row>
    <row r="103" spans="2:2" ht="22" customHeight="1" x14ac:dyDescent="0.15">
      <c r="B103" s="3"/>
    </row>
    <row r="104" spans="2:2" ht="22" customHeight="1" x14ac:dyDescent="0.15">
      <c r="B104" s="3"/>
    </row>
    <row r="105" spans="2:2" ht="22" customHeight="1" x14ac:dyDescent="0.15">
      <c r="B105" s="3"/>
    </row>
    <row r="106" spans="2:2" ht="22" customHeight="1" x14ac:dyDescent="0.15">
      <c r="B106" s="3"/>
    </row>
    <row r="107" spans="2:2" ht="22" customHeight="1" x14ac:dyDescent="0.15">
      <c r="B107" s="3"/>
    </row>
    <row r="108" spans="2:2" ht="22" customHeight="1" x14ac:dyDescent="0.15">
      <c r="B108" s="3"/>
    </row>
    <row r="109" spans="2:2" ht="22" customHeight="1" x14ac:dyDescent="0.15">
      <c r="B109" s="3"/>
    </row>
    <row r="110" spans="2:2" ht="22" customHeight="1" x14ac:dyDescent="0.15">
      <c r="B110" s="3"/>
    </row>
    <row r="111" spans="2:2" ht="22" customHeight="1" x14ac:dyDescent="0.15">
      <c r="B111" s="3"/>
    </row>
    <row r="112" spans="2:2" ht="22" customHeight="1" x14ac:dyDescent="0.15">
      <c r="B112" s="3"/>
    </row>
    <row r="113" spans="2:2" ht="22" customHeight="1" x14ac:dyDescent="0.15">
      <c r="B113" s="3"/>
    </row>
    <row r="114" spans="2:2" ht="22" customHeight="1" x14ac:dyDescent="0.15">
      <c r="B114" s="3"/>
    </row>
    <row r="115" spans="2:2" ht="22" customHeight="1" x14ac:dyDescent="0.15">
      <c r="B115" s="3"/>
    </row>
    <row r="116" spans="2:2" ht="22" customHeight="1" x14ac:dyDescent="0.15">
      <c r="B116" s="3"/>
    </row>
    <row r="117" spans="2:2" ht="22" customHeight="1" x14ac:dyDescent="0.15">
      <c r="B117" s="3"/>
    </row>
    <row r="118" spans="2:2" ht="22" customHeight="1" x14ac:dyDescent="0.15">
      <c r="B118" s="3"/>
    </row>
    <row r="119" spans="2:2" ht="22" customHeight="1" x14ac:dyDescent="0.15">
      <c r="B119" s="3"/>
    </row>
    <row r="120" spans="2:2" ht="22" customHeight="1" x14ac:dyDescent="0.15">
      <c r="B120" s="3"/>
    </row>
    <row r="121" spans="2:2" ht="22" customHeight="1" x14ac:dyDescent="0.15">
      <c r="B121" s="3"/>
    </row>
    <row r="122" spans="2:2" ht="22" customHeight="1" x14ac:dyDescent="0.15">
      <c r="B122" s="3"/>
    </row>
    <row r="123" spans="2:2" ht="22" customHeight="1" x14ac:dyDescent="0.15">
      <c r="B123" s="3"/>
    </row>
    <row r="124" spans="2:2" ht="22" customHeight="1" x14ac:dyDescent="0.15">
      <c r="B124" s="3"/>
    </row>
    <row r="125" spans="2:2" ht="22" customHeight="1" x14ac:dyDescent="0.15">
      <c r="B125" s="3"/>
    </row>
    <row r="126" spans="2:2" ht="22" customHeight="1" x14ac:dyDescent="0.15">
      <c r="B126" s="3"/>
    </row>
    <row r="127" spans="2:2" ht="22" customHeight="1" x14ac:dyDescent="0.15">
      <c r="B127" s="3"/>
    </row>
    <row r="128" spans="2:2" ht="22" customHeight="1" x14ac:dyDescent="0.15">
      <c r="B128" s="3"/>
    </row>
    <row r="129" spans="2:2" ht="22" customHeight="1" x14ac:dyDescent="0.15">
      <c r="B129" s="3"/>
    </row>
    <row r="130" spans="2:2" ht="22" customHeight="1" x14ac:dyDescent="0.15">
      <c r="B130" s="3"/>
    </row>
    <row r="131" spans="2:2" ht="22" customHeight="1" x14ac:dyDescent="0.15">
      <c r="B131" s="3"/>
    </row>
    <row r="132" spans="2:2" ht="22" customHeight="1" x14ac:dyDescent="0.15">
      <c r="B132" s="3"/>
    </row>
    <row r="133" spans="2:2" ht="22" customHeight="1" x14ac:dyDescent="0.15">
      <c r="B133" s="3"/>
    </row>
    <row r="134" spans="2:2" ht="22" customHeight="1" x14ac:dyDescent="0.15">
      <c r="B134" s="3"/>
    </row>
    <row r="135" spans="2:2" ht="22" customHeight="1" x14ac:dyDescent="0.15">
      <c r="B135" s="3"/>
    </row>
    <row r="136" spans="2:2" ht="22" customHeight="1" x14ac:dyDescent="0.15">
      <c r="B136" s="3"/>
    </row>
    <row r="137" spans="2:2" ht="22" customHeight="1" x14ac:dyDescent="0.15">
      <c r="B137" s="3"/>
    </row>
    <row r="138" spans="2:2" ht="22" customHeight="1" x14ac:dyDescent="0.15">
      <c r="B138" s="3"/>
    </row>
    <row r="139" spans="2:2" ht="22" customHeight="1" x14ac:dyDescent="0.15">
      <c r="B139" s="3"/>
    </row>
    <row r="140" spans="2:2" ht="22" customHeight="1" x14ac:dyDescent="0.15">
      <c r="B140" s="3"/>
    </row>
    <row r="141" spans="2:2" ht="22" customHeight="1" x14ac:dyDescent="0.15">
      <c r="B141" s="3"/>
    </row>
    <row r="142" spans="2:2" ht="22" customHeight="1" x14ac:dyDescent="0.15">
      <c r="B142" s="3"/>
    </row>
    <row r="143" spans="2:2" ht="22" customHeight="1" x14ac:dyDescent="0.15">
      <c r="B143" s="3"/>
    </row>
    <row r="144" spans="2:2" ht="22" customHeight="1" x14ac:dyDescent="0.15">
      <c r="B144" s="3"/>
    </row>
    <row r="145" spans="2:2" ht="22" customHeight="1" x14ac:dyDescent="0.15">
      <c r="B145" s="3"/>
    </row>
    <row r="146" spans="2:2" ht="22" customHeight="1" x14ac:dyDescent="0.15">
      <c r="B146" s="3"/>
    </row>
    <row r="147" spans="2:2" ht="22" customHeight="1" x14ac:dyDescent="0.15">
      <c r="B147" s="3"/>
    </row>
    <row r="148" spans="2:2" ht="22" customHeight="1" x14ac:dyDescent="0.15">
      <c r="B148" s="3"/>
    </row>
    <row r="149" spans="2:2" ht="22" customHeight="1" x14ac:dyDescent="0.15">
      <c r="B149" s="3"/>
    </row>
    <row r="150" spans="2:2" ht="22" customHeight="1" x14ac:dyDescent="0.15">
      <c r="B150" s="3"/>
    </row>
    <row r="151" spans="2:2" ht="22" customHeight="1" x14ac:dyDescent="0.15">
      <c r="B151" s="3"/>
    </row>
    <row r="152" spans="2:2" ht="22" customHeight="1" x14ac:dyDescent="0.15">
      <c r="B152" s="3"/>
    </row>
    <row r="153" spans="2:2" ht="22" customHeight="1" x14ac:dyDescent="0.15">
      <c r="B153" s="3"/>
    </row>
    <row r="154" spans="2:2" ht="22" customHeight="1" x14ac:dyDescent="0.15">
      <c r="B154" s="3"/>
    </row>
    <row r="155" spans="2:2" ht="22" customHeight="1" x14ac:dyDescent="0.15">
      <c r="B155" s="3"/>
    </row>
    <row r="156" spans="2:2" ht="22" customHeight="1" x14ac:dyDescent="0.15">
      <c r="B156" s="3"/>
    </row>
    <row r="157" spans="2:2" ht="22" customHeight="1" x14ac:dyDescent="0.15">
      <c r="B157" s="3"/>
    </row>
    <row r="158" spans="2:2" ht="22" customHeight="1" x14ac:dyDescent="0.15">
      <c r="B158" s="3"/>
    </row>
    <row r="159" spans="2:2" ht="22" customHeight="1" x14ac:dyDescent="0.15">
      <c r="B159" s="3"/>
    </row>
    <row r="160" spans="2:2" ht="22" customHeight="1" x14ac:dyDescent="0.15">
      <c r="B160" s="3"/>
    </row>
    <row r="161" spans="2:2" ht="22" customHeight="1" x14ac:dyDescent="0.15">
      <c r="B161" s="3"/>
    </row>
    <row r="162" spans="2:2" ht="22" customHeight="1" x14ac:dyDescent="0.15">
      <c r="B162" s="3"/>
    </row>
    <row r="163" spans="2:2" ht="22" customHeight="1" x14ac:dyDescent="0.15">
      <c r="B163" s="3"/>
    </row>
    <row r="164" spans="2:2" ht="22" customHeight="1" x14ac:dyDescent="0.15">
      <c r="B164" s="3"/>
    </row>
    <row r="165" spans="2:2" ht="22" customHeight="1" x14ac:dyDescent="0.15">
      <c r="B165" s="3"/>
    </row>
    <row r="166" spans="2:2" ht="22" customHeight="1" x14ac:dyDescent="0.15">
      <c r="B166" s="3"/>
    </row>
    <row r="167" spans="2:2" ht="22" customHeight="1" x14ac:dyDescent="0.15">
      <c r="B167" s="3"/>
    </row>
    <row r="168" spans="2:2" ht="22" customHeight="1" x14ac:dyDescent="0.15">
      <c r="B168" s="3"/>
    </row>
    <row r="169" spans="2:2" ht="22" customHeight="1" x14ac:dyDescent="0.15">
      <c r="B169" s="3"/>
    </row>
    <row r="170" spans="2:2" ht="22" customHeight="1" x14ac:dyDescent="0.15">
      <c r="B170" s="3"/>
    </row>
    <row r="171" spans="2:2" ht="22" customHeight="1" x14ac:dyDescent="0.15">
      <c r="B171" s="3"/>
    </row>
    <row r="172" spans="2:2" ht="22" customHeight="1" x14ac:dyDescent="0.15">
      <c r="B172" s="3"/>
    </row>
    <row r="173" spans="2:2" ht="22" customHeight="1" x14ac:dyDescent="0.15">
      <c r="B173" s="3"/>
    </row>
    <row r="174" spans="2:2" ht="22" customHeight="1" x14ac:dyDescent="0.15">
      <c r="B174" s="3"/>
    </row>
    <row r="175" spans="2:2" ht="22" customHeight="1" x14ac:dyDescent="0.15">
      <c r="B175" s="3"/>
    </row>
    <row r="176" spans="2:2" ht="22" customHeight="1" x14ac:dyDescent="0.15">
      <c r="B176" s="3"/>
    </row>
    <row r="177" spans="2:2" ht="22" customHeight="1" x14ac:dyDescent="0.15">
      <c r="B1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Hurwitz</dc:creator>
  <cp:lastModifiedBy>Allison Bauman</cp:lastModifiedBy>
  <dcterms:created xsi:type="dcterms:W3CDTF">2025-09-27T13:21:22Z</dcterms:created>
  <dcterms:modified xsi:type="dcterms:W3CDTF">2025-10-10T19:39:36Z</dcterms:modified>
</cp:coreProperties>
</file>