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ry_beans/model_input/data/data_final/"/>
    </mc:Choice>
  </mc:AlternateContent>
  <xr:revisionPtr revIDLastSave="0" documentId="13_ncr:1_{4507D72E-03CA-8749-B3C5-4F77934DFEE8}" xr6:coauthVersionLast="47" xr6:coauthVersionMax="47" xr10:uidLastSave="{00000000-0000-0000-0000-000000000000}"/>
  <bookViews>
    <workbookView xWindow="1280" yWindow="720" windowWidth="34100" windowHeight="18040" xr2:uid="{A67E94A8-2A01-409F-A4DE-EACCFEB0939B}"/>
  </bookViews>
  <sheets>
    <sheet name="data_imperial" sheetId="1" r:id="rId1"/>
    <sheet name="producer_data_metric" sheetId="4" r:id="rId2"/>
    <sheet name="info" sheetId="3" r:id="rId3"/>
    <sheet name="price worksheet" sheetId="5" r:id="rId4"/>
    <sheet name="CO_Exampl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5" l="1"/>
  <c r="A14" i="5" s="1"/>
  <c r="A15" i="5" s="1"/>
  <c r="A6" i="5"/>
  <c r="B2" i="5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12" i="4"/>
  <c r="E13" i="4"/>
  <c r="E14" i="4"/>
  <c r="E15" i="4"/>
  <c r="E16" i="4"/>
  <c r="E17" i="4"/>
  <c r="E18" i="4"/>
  <c r="E11" i="4"/>
  <c r="D40" i="4" l="1"/>
  <c r="D41" i="4"/>
  <c r="D44" i="4"/>
  <c r="D45" i="4"/>
  <c r="D29" i="4"/>
  <c r="D31" i="4"/>
  <c r="D32" i="4"/>
  <c r="D35" i="4"/>
  <c r="D37" i="4"/>
  <c r="D20" i="4"/>
  <c r="D22" i="4"/>
  <c r="D23" i="4"/>
  <c r="D26" i="4"/>
  <c r="D28" i="4"/>
  <c r="D19" i="4"/>
  <c r="D17" i="4"/>
  <c r="D13" i="4"/>
  <c r="D14" i="4"/>
  <c r="D11" i="4"/>
  <c r="C13" i="4"/>
  <c r="C14" i="4"/>
  <c r="C17" i="4"/>
  <c r="C19" i="4"/>
  <c r="C20" i="4"/>
  <c r="C22" i="4"/>
  <c r="C23" i="4"/>
  <c r="C26" i="4"/>
  <c r="C28" i="4"/>
  <c r="C29" i="4"/>
  <c r="C31" i="4"/>
  <c r="C32" i="4"/>
  <c r="C35" i="4"/>
  <c r="C37" i="4"/>
  <c r="C40" i="4"/>
  <c r="C41" i="4"/>
  <c r="C44" i="4"/>
  <c r="C45" i="4"/>
  <c r="C11" i="4"/>
</calcChain>
</file>

<file path=xl/sharedStrings.xml><?xml version="1.0" encoding="utf-8"?>
<sst xmlns="http://schemas.openxmlformats.org/spreadsheetml/2006/main" count="259" uniqueCount="121">
  <si>
    <t>Consumer</t>
  </si>
  <si>
    <t>Differentiated</t>
  </si>
  <si>
    <t>NYC Public Institutions</t>
  </si>
  <si>
    <t>Commodity</t>
  </si>
  <si>
    <t>Cleaner Aggregator</t>
  </si>
  <si>
    <t>Primary Processor</t>
  </si>
  <si>
    <t>Secondary Processor</t>
  </si>
  <si>
    <t>Wholesale / Distributor</t>
  </si>
  <si>
    <t>N/A</t>
  </si>
  <si>
    <t>Baseline</t>
  </si>
  <si>
    <t>Scenario</t>
  </si>
  <si>
    <t>Price Received by Farmer (Note: All prices in table are in $/lb.)</t>
  </si>
  <si>
    <t>Price Received by Shipper/Warehouse</t>
  </si>
  <si>
    <t>Price Received by Processor</t>
  </si>
  <si>
    <t>Price Received by Distributor</t>
  </si>
  <si>
    <t>(NPC Yearbook ID avg. price)</t>
  </si>
  <si>
    <t>(CO-originated terminal market avg. price 1998-2019 for Russet conventional)</t>
  </si>
  <si>
    <t>(ERS food dollar: processor)</t>
  </si>
  <si>
    <t>(DPS data)</t>
  </si>
  <si>
    <t>Local</t>
  </si>
  <si>
    <t>Russet conventional: $0.1291</t>
  </si>
  <si>
    <t>Russet organic: $0.2546</t>
  </si>
  <si>
    <t>Specialty conv.: $0.2350</t>
  </si>
  <si>
    <r>
      <t>Specialty organic: $0.4634</t>
    </r>
    <r>
      <rPr>
        <vertAlign val="superscript"/>
        <sz val="12"/>
        <color rgb="FF000000"/>
        <rFont val="Calibri"/>
        <family val="2"/>
      </rPr>
      <t>4</t>
    </r>
  </si>
  <si>
    <r>
      <t>Repacker: $0.0810</t>
    </r>
    <r>
      <rPr>
        <vertAlign val="superscript"/>
        <sz val="12"/>
        <color rgb="FF000000"/>
        <rFont val="Calibri"/>
        <family val="2"/>
      </rPr>
      <t>5</t>
    </r>
  </si>
  <si>
    <t>(AMS 1998-2019; CPAC report)</t>
  </si>
  <si>
    <t>Russet conventional: $0.358</t>
  </si>
  <si>
    <t>Russet organic: $0.705</t>
  </si>
  <si>
    <t>Specialty conv.: $0.651</t>
  </si>
  <si>
    <t>Specialty organic: $1.284</t>
  </si>
  <si>
    <t>Repacker: $0.224</t>
  </si>
  <si>
    <t>(177% premium over FG from Russet conv.)</t>
  </si>
  <si>
    <r>
      <t xml:space="preserve"> Russet conv: $0.3605</t>
    </r>
    <r>
      <rPr>
        <vertAlign val="superscript"/>
        <sz val="12"/>
        <color rgb="FF000000"/>
        <rFont val="Calibri"/>
        <family val="2"/>
      </rPr>
      <t>6,10</t>
    </r>
  </si>
  <si>
    <r>
      <t>($0.35 DPS data + 3% change baseline to local through mainline dist.</t>
    </r>
    <r>
      <rPr>
        <vertAlign val="superscript"/>
        <sz val="12"/>
        <color rgb="FF000000"/>
        <rFont val="Calibri"/>
        <family val="2"/>
      </rPr>
      <t>10</t>
    </r>
    <r>
      <rPr>
        <sz val="12"/>
        <color rgb="FF000000"/>
        <rFont val="Calibri"/>
        <family val="2"/>
      </rPr>
      <t>)</t>
    </r>
  </si>
  <si>
    <t>Russet organic: $0.710</t>
  </si>
  <si>
    <t>Specialty conv.: $ 0.656</t>
  </si>
  <si>
    <t>Specialty organic: $ 1.293</t>
  </si>
  <si>
    <t>Short supply chain</t>
  </si>
  <si>
    <t>Russet conventional: $.222</t>
  </si>
  <si>
    <t>Russet organic: $0.437</t>
  </si>
  <si>
    <t>Specialty conv.: $0.404</t>
  </si>
  <si>
    <t>Specialty organic: $0.796</t>
  </si>
  <si>
    <t>Repacker: $0.139</t>
  </si>
  <si>
    <r>
      <t>(62% to farmer and 38% to shipper cost structure from AAEA pres.</t>
    </r>
    <r>
      <rPr>
        <vertAlign val="superscript"/>
        <sz val="12"/>
        <color rgb="FF000000"/>
        <rFont val="Calibri"/>
        <family val="2"/>
      </rPr>
      <t>9</t>
    </r>
    <r>
      <rPr>
        <sz val="12"/>
        <color rgb="FF000000"/>
        <rFont val="Calibri"/>
        <family val="2"/>
      </rPr>
      <t>)</t>
    </r>
  </si>
  <si>
    <t>(From scenario 2)</t>
  </si>
  <si>
    <t>Seconds (waste reduction)</t>
  </si>
  <si>
    <t>($0.0356 farmgate  + 177% from scenario 2)</t>
  </si>
  <si>
    <t>Value-added</t>
  </si>
  <si>
    <t>Russet conventional: $.1291</t>
  </si>
  <si>
    <t>Russet organic: $.2546</t>
  </si>
  <si>
    <t>Specialty conventional: $.2350</t>
  </si>
  <si>
    <t>Specialty organic: $.4634</t>
  </si>
  <si>
    <t>Repacker price: $0.224</t>
  </si>
  <si>
    <r>
      <t>Russet conv: $0.51</t>
    </r>
    <r>
      <rPr>
        <vertAlign val="superscript"/>
        <sz val="12"/>
        <color rgb="FF000000"/>
        <rFont val="Calibri"/>
        <family val="2"/>
      </rPr>
      <t>8</t>
    </r>
  </si>
  <si>
    <t>(From scenario 1)</t>
  </si>
  <si>
    <t>Russet organic: $1.004</t>
  </si>
  <si>
    <t>Specialty conv: $0.927</t>
  </si>
  <si>
    <t>Specialty org: $1.829</t>
  </si>
  <si>
    <t xml:space="preserve">(price for frozen, seasoned, diced potatoes from DPS data) </t>
  </si>
  <si>
    <t xml:space="preserve"> Russet organic: $1.614</t>
  </si>
  <si>
    <t>Specialty conv: $1.490</t>
  </si>
  <si>
    <t xml:space="preserve">Specialty org: $2.941 </t>
  </si>
  <si>
    <t>cost_of_production_drybean_more_mill_nonmwbe_conv</t>
  </si>
  <si>
    <t>cost_of_production_drybean_more_mill_mwbe_conv</t>
  </si>
  <si>
    <t>cost_of_production_drybean_less_mill_nonmwbe_conv</t>
  </si>
  <si>
    <t>cost_of_production_drybean_less_mill_mwbe_conv</t>
  </si>
  <si>
    <t>cost_of_production_drybean_more_mill_nonmwbe_org</t>
  </si>
  <si>
    <t>cost_of_production_drybean_more_mill_mwbe_org</t>
  </si>
  <si>
    <t>cost_of_production_drybean_less_mill_nonmwbe_org</t>
  </si>
  <si>
    <t>cost_of_production_drybean_less_mill_mwbe_org</t>
  </si>
  <si>
    <t>cost_of_production_outsideNY</t>
  </si>
  <si>
    <t>Cost of Production per acre</t>
  </si>
  <si>
    <t>We are not modeling the direct to consumer market, the top row</t>
  </si>
  <si>
    <t>Producer price ($/lb.)</t>
  </si>
  <si>
    <t>mean ($/acre)</t>
  </si>
  <si>
    <t>std.err ($/acre)</t>
  </si>
  <si>
    <t>organic</t>
  </si>
  <si>
    <t>conventional</t>
  </si>
  <si>
    <t>4-9%</t>
  </si>
  <si>
    <t>canning</t>
  </si>
  <si>
    <t>6-10%</t>
  </si>
  <si>
    <t>dry beans bagging</t>
  </si>
  <si>
    <t>15-20%</t>
  </si>
  <si>
    <t>frozen/processed (not canned) beans</t>
  </si>
  <si>
    <t>8-10%</t>
  </si>
  <si>
    <t>organic and conventional</t>
  </si>
  <si>
    <t>conventional &amp; organic</t>
  </si>
  <si>
    <t>20-24%</t>
  </si>
  <si>
    <t>Soybeans</t>
  </si>
  <si>
    <t>cost_of_production_soy_more_mill_nonmwbe_conv</t>
  </si>
  <si>
    <t>cost_of_production_soy_more_mill_mwbe_conv</t>
  </si>
  <si>
    <t>cost_of_production_soy_less_mill_nonmwbe_conv</t>
  </si>
  <si>
    <t>cost_of_production_soy_less_mill_mwbe_conv</t>
  </si>
  <si>
    <t>cost_of_production_soy_more_mill_nonmwbe_org</t>
  </si>
  <si>
    <t>cost_of_production_soy_more_mill_mwbe_org</t>
  </si>
  <si>
    <t>cost_of_production_soy_less_mill_nonmwbe_org</t>
  </si>
  <si>
    <t>cost_of_production_soy_less_mill_mwbe_org</t>
  </si>
  <si>
    <t>Sources:</t>
  </si>
  <si>
    <t>Cost of production for dry beans: out of state is based on enterprise budgets from North Dakota, Colorado,  Wyoming and Texas. In-state is based on a cost of production per acre of xx, which is then increased/decreased for each type of farm based on Census of Agriculture data (see  farmgate_pricing.qmd)</t>
  </si>
  <si>
    <t xml:space="preserve">Cost of production for soybeans: not included for out of state. In-state is based on Census of Agriculture data for producers that have soy only. We only have data for &lt;$1 conventional. </t>
  </si>
  <si>
    <t>dry beans</t>
  </si>
  <si>
    <t>canned beans</t>
  </si>
  <si>
    <t>22-26%</t>
  </si>
  <si>
    <t>medium sized: 8-10%</t>
  </si>
  <si>
    <t>large: 3-5%</t>
  </si>
  <si>
    <t>std.err ($/hectare)</t>
  </si>
  <si>
    <t>mean ($/hectare)</t>
  </si>
  <si>
    <t>Producer price ($/kg.)</t>
  </si>
  <si>
    <t>Price data is from 2022 and based on cost data in the same year</t>
  </si>
  <si>
    <t>6-10% (Conventional &amp; Organic: Furmanos)</t>
  </si>
  <si>
    <t>6-10% (Conventional &amp; Organic canning: Furmanos); 15-20% dry beans bagging</t>
  </si>
  <si>
    <t>$0.07/Ounce</t>
  </si>
  <si>
    <t>price per lb.</t>
  </si>
  <si>
    <t>Goya wholesale price</t>
  </si>
  <si>
    <t>NY Bean sells to Goya</t>
  </si>
  <si>
    <t>$57 for a 50lb bafg</t>
  </si>
  <si>
    <t>price per lb for organic canned beans</t>
  </si>
  <si>
    <t>Cleaner/aggregator outside of margin</t>
  </si>
  <si>
    <t xml:space="preserve">Grower is getting </t>
  </si>
  <si>
    <t xml:space="preserve">NYC is paying an average of 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</si>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</sst>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0"/>
    <numFmt numFmtId="165" formatCode="0.000"/>
    <numFmt numFmtId="170" formatCode="0.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name val="Arial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3B4238"/>
      <name val="Helvetica Neue"/>
      <family val="2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6" xfId="0" applyFont="1" applyFill="1" applyBorder="1" applyAlignment="1">
      <alignment horizontal="center" vertical="center" wrapText="1" readingOrder="1"/>
    </xf>
    <xf numFmtId="8" fontId="6" fillId="3" borderId="7" xfId="0" applyNumberFormat="1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6" fillId="4" borderId="8" xfId="0" applyFont="1" applyFill="1" applyBorder="1" applyAlignment="1">
      <alignment horizontal="center" vertical="center" wrapText="1" readingOrder="1"/>
    </xf>
    <xf numFmtId="0" fontId="3" fillId="4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8" fontId="6" fillId="4" borderId="9" xfId="0" applyNumberFormat="1" applyFont="1" applyFill="1" applyBorder="1" applyAlignment="1">
      <alignment horizontal="center" vertical="center" wrapText="1" readingOrder="1"/>
    </xf>
    <xf numFmtId="0" fontId="0" fillId="3" borderId="8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8" fontId="6" fillId="3" borderId="9" xfId="0" applyNumberFormat="1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0" fillId="0" borderId="1" xfId="0" applyBorder="1"/>
    <xf numFmtId="0" fontId="0" fillId="0" borderId="11" xfId="0" applyBorder="1"/>
    <xf numFmtId="0" fontId="0" fillId="0" borderId="13" xfId="0" quotePrefix="1" applyBorder="1"/>
    <xf numFmtId="2" fontId="0" fillId="0" borderId="5" xfId="0" quotePrefix="1" applyNumberFormat="1" applyBorder="1"/>
    <xf numFmtId="0" fontId="0" fillId="0" borderId="12" xfId="0" applyBorder="1"/>
    <xf numFmtId="2" fontId="0" fillId="0" borderId="4" xfId="0" applyNumberFormat="1" applyBorder="1"/>
    <xf numFmtId="0" fontId="0" fillId="0" borderId="2" xfId="0" applyBorder="1"/>
    <xf numFmtId="2" fontId="0" fillId="0" borderId="11" xfId="0" applyNumberFormat="1" applyBorder="1"/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6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0" fontId="0" fillId="0" borderId="13" xfId="0" applyBorder="1"/>
    <xf numFmtId="2" fontId="0" fillId="0" borderId="12" xfId="0" applyNumberFormat="1" applyBorder="1"/>
    <xf numFmtId="43" fontId="0" fillId="0" borderId="0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5" xfId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43" fontId="0" fillId="0" borderId="12" xfId="1" applyFont="1" applyBorder="1"/>
    <xf numFmtId="43" fontId="0" fillId="0" borderId="11" xfId="1" applyFont="1" applyBorder="1"/>
    <xf numFmtId="43" fontId="0" fillId="0" borderId="13" xfId="1" applyFont="1" applyBorder="1"/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6" fillId="3" borderId="8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6" fillId="4" borderId="8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0" fontId="5" fillId="3" borderId="10" xfId="0" applyFont="1" applyFill="1" applyBorder="1" applyAlignment="1">
      <alignment horizontal="center" vertical="center" wrapText="1" readingOrder="1"/>
    </xf>
    <xf numFmtId="8" fontId="6" fillId="4" borderId="9" xfId="0" applyNumberFormat="1" applyFont="1" applyFill="1" applyBorder="1" applyAlignment="1">
      <alignment horizontal="center" vertical="center" wrapText="1" readingOrder="1"/>
    </xf>
    <xf numFmtId="8" fontId="6" fillId="4" borderId="8" xfId="0" applyNumberFormat="1" applyFont="1" applyFill="1" applyBorder="1" applyAlignment="1">
      <alignment horizontal="center" vertical="center" wrapText="1" readingOrder="1"/>
    </xf>
    <xf numFmtId="0" fontId="9" fillId="0" borderId="0" xfId="0" applyFont="1"/>
    <xf numFmtId="9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0" fillId="5" borderId="16" xfId="0" applyFill="1" applyBorder="1" applyAlignment="1">
      <alignment horizontal="left"/>
    </xf>
    <xf numFmtId="0" fontId="0" fillId="5" borderId="5" xfId="0" applyFill="1" applyBorder="1" applyAlignment="1">
      <alignment wrapText="1"/>
    </xf>
    <xf numFmtId="0" fontId="0" fillId="5" borderId="11" xfId="0" applyFill="1" applyBorder="1"/>
    <xf numFmtId="0" fontId="0" fillId="5" borderId="4" xfId="0" applyFill="1" applyBorder="1" applyAlignment="1">
      <alignment wrapText="1"/>
    </xf>
    <xf numFmtId="0" fontId="0" fillId="5" borderId="3" xfId="0" applyFill="1" applyBorder="1" applyAlignment="1">
      <alignment horizontal="center"/>
    </xf>
    <xf numFmtId="9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Border="1" applyAlignment="1">
      <alignment horizontal="left"/>
    </xf>
    <xf numFmtId="0" fontId="0" fillId="5" borderId="13" xfId="0" applyFill="1" applyBorder="1"/>
    <xf numFmtId="9" fontId="0" fillId="5" borderId="4" xfId="0" applyNumberFormat="1" applyFill="1" applyBorder="1"/>
    <xf numFmtId="6" fontId="0" fillId="0" borderId="0" xfId="0" applyNumberFormat="1"/>
    <xf numFmtId="0" fontId="10" fillId="0" borderId="0" xfId="0" applyFont="1"/>
    <xf numFmtId="170" fontId="0" fillId="0" borderId="0" xfId="0" applyNumberFormat="1"/>
    <xf numFmtId="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74D9-DE0E-4A40-B588-D58908D7BF3F}">
  <dimension ref="A1:I46"/>
  <sheetViews>
    <sheetView tabSelected="1" zoomScale="150" zoomScaleNormal="150" workbookViewId="0">
      <pane ySplit="1" topLeftCell="A18" activePane="bottomLeft" state="frozen"/>
      <selection pane="bottomLeft" activeCell="F37" sqref="F37"/>
    </sheetView>
  </sheetViews>
  <sheetFormatPr baseColWidth="10" defaultColWidth="8.83203125" defaultRowHeight="15" x14ac:dyDescent="0.2"/>
  <cols>
    <col min="1" max="1" width="28.5" customWidth="1"/>
    <col min="2" max="2" width="44.6640625" bestFit="1" customWidth="1"/>
    <col min="3" max="3" width="8.5" customWidth="1"/>
    <col min="4" max="4" width="8.6640625" customWidth="1"/>
    <col min="5" max="5" width="11.83203125" customWidth="1"/>
    <col min="6" max="6" width="30.1640625" customWidth="1"/>
    <col min="7" max="7" width="19.6640625" customWidth="1"/>
    <col min="8" max="8" width="18.5" bestFit="1" customWidth="1"/>
    <col min="9" max="9" width="20.5" bestFit="1" customWidth="1"/>
  </cols>
  <sheetData>
    <row r="1" spans="1:9" s="1" customFormat="1" ht="32" customHeight="1" x14ac:dyDescent="0.2">
      <c r="A1" s="23" t="s">
        <v>9</v>
      </c>
      <c r="B1" s="25" t="s">
        <v>71</v>
      </c>
      <c r="C1" s="21" t="s">
        <v>74</v>
      </c>
      <c r="D1" s="21" t="s">
        <v>75</v>
      </c>
      <c r="E1" s="24" t="s">
        <v>73</v>
      </c>
      <c r="F1" s="22" t="s">
        <v>4</v>
      </c>
      <c r="G1" s="22" t="s">
        <v>5</v>
      </c>
      <c r="H1" s="22" t="s">
        <v>6</v>
      </c>
      <c r="I1" s="22" t="s">
        <v>7</v>
      </c>
    </row>
    <row r="2" spans="1:9" s="1" customFormat="1" x14ac:dyDescent="0.2">
      <c r="A2" s="73" t="s">
        <v>0</v>
      </c>
      <c r="B2" s="32" t="s">
        <v>62</v>
      </c>
      <c r="C2" s="70"/>
      <c r="D2" s="70"/>
      <c r="E2" s="70"/>
      <c r="F2" s="70"/>
      <c r="G2" s="66"/>
      <c r="H2" s="66"/>
      <c r="I2" s="66"/>
    </row>
    <row r="3" spans="1:9" x14ac:dyDescent="0.2">
      <c r="A3" s="74"/>
      <c r="B3" t="s">
        <v>63</v>
      </c>
      <c r="C3" s="71"/>
      <c r="D3" s="71"/>
      <c r="E3" s="71"/>
      <c r="F3" s="71"/>
      <c r="G3" s="67"/>
      <c r="H3" s="67"/>
      <c r="I3" s="67"/>
    </row>
    <row r="4" spans="1:9" x14ac:dyDescent="0.2">
      <c r="A4" s="74"/>
      <c r="B4" t="s">
        <v>64</v>
      </c>
      <c r="C4" s="71"/>
      <c r="D4" s="71"/>
      <c r="E4" s="71"/>
      <c r="F4" s="71"/>
      <c r="G4" s="67"/>
      <c r="H4" s="67"/>
      <c r="I4" s="67"/>
    </row>
    <row r="5" spans="1:9" x14ac:dyDescent="0.2">
      <c r="A5" s="74"/>
      <c r="B5" t="s">
        <v>65</v>
      </c>
      <c r="C5" s="71"/>
      <c r="D5" s="71"/>
      <c r="E5" s="71"/>
      <c r="F5" s="71"/>
      <c r="G5" s="67"/>
      <c r="H5" s="67"/>
      <c r="I5" s="67"/>
    </row>
    <row r="6" spans="1:9" x14ac:dyDescent="0.2">
      <c r="A6" s="74"/>
      <c r="B6" t="s">
        <v>66</v>
      </c>
      <c r="C6" s="71"/>
      <c r="D6" s="71"/>
      <c r="E6" s="71"/>
      <c r="F6" s="71"/>
      <c r="G6" s="67"/>
      <c r="H6" s="67"/>
      <c r="I6" s="67"/>
    </row>
    <row r="7" spans="1:9" x14ac:dyDescent="0.2">
      <c r="A7" s="74"/>
      <c r="B7" t="s">
        <v>67</v>
      </c>
      <c r="C7" s="71"/>
      <c r="D7" s="71"/>
      <c r="E7" s="71"/>
      <c r="F7" s="71"/>
      <c r="G7" s="67"/>
      <c r="H7" s="67"/>
      <c r="I7" s="67"/>
    </row>
    <row r="8" spans="1:9" x14ac:dyDescent="0.2">
      <c r="A8" s="74"/>
      <c r="B8" t="s">
        <v>68</v>
      </c>
      <c r="C8" s="71"/>
      <c r="D8" s="71"/>
      <c r="E8" s="71"/>
      <c r="F8" s="71"/>
      <c r="G8" s="67"/>
      <c r="H8" s="67"/>
      <c r="I8" s="67"/>
    </row>
    <row r="9" spans="1:9" x14ac:dyDescent="0.2">
      <c r="A9" s="74"/>
      <c r="B9" t="s">
        <v>69</v>
      </c>
      <c r="C9" s="71"/>
      <c r="D9" s="71"/>
      <c r="E9" s="71"/>
      <c r="F9" s="71"/>
      <c r="G9" s="67"/>
      <c r="H9" s="67"/>
      <c r="I9" s="67"/>
    </row>
    <row r="10" spans="1:9" x14ac:dyDescent="0.2">
      <c r="A10" s="75"/>
      <c r="B10" s="26" t="s">
        <v>70</v>
      </c>
      <c r="C10" s="72"/>
      <c r="D10" s="72"/>
      <c r="E10" s="71"/>
      <c r="F10" s="72"/>
      <c r="G10" s="67"/>
      <c r="H10" s="68"/>
      <c r="I10" s="68"/>
    </row>
    <row r="11" spans="1:9" x14ac:dyDescent="0.2">
      <c r="A11" s="77" t="s">
        <v>1</v>
      </c>
      <c r="B11" s="32" t="s">
        <v>62</v>
      </c>
      <c r="C11" s="30">
        <v>493.75</v>
      </c>
      <c r="D11" s="30">
        <v>148.4375</v>
      </c>
      <c r="E11" s="2">
        <v>0.75</v>
      </c>
      <c r="F11" s="41" t="s">
        <v>76</v>
      </c>
      <c r="G11" s="5" t="s">
        <v>86</v>
      </c>
      <c r="H11" s="40" t="s">
        <v>85</v>
      </c>
      <c r="I11" s="101" t="s">
        <v>86</v>
      </c>
    </row>
    <row r="12" spans="1:9" x14ac:dyDescent="0.2">
      <c r="A12" s="69"/>
      <c r="B12" t="s">
        <v>63</v>
      </c>
      <c r="C12" s="27"/>
      <c r="D12" s="27"/>
      <c r="E12" s="3">
        <v>0.75</v>
      </c>
      <c r="F12" s="36">
        <v>0.11</v>
      </c>
      <c r="G12" s="38" t="s">
        <v>79</v>
      </c>
      <c r="H12" s="34" t="s">
        <v>83</v>
      </c>
      <c r="I12" s="38" t="s">
        <v>100</v>
      </c>
    </row>
    <row r="13" spans="1:9" x14ac:dyDescent="0.2">
      <c r="A13" s="69"/>
      <c r="B13" t="s">
        <v>64</v>
      </c>
      <c r="C13" s="27">
        <v>343.75</v>
      </c>
      <c r="D13" s="27">
        <v>125</v>
      </c>
      <c r="E13" s="3">
        <v>0.75</v>
      </c>
      <c r="G13" s="38" t="s">
        <v>80</v>
      </c>
      <c r="H13" s="38" t="s">
        <v>84</v>
      </c>
      <c r="I13" s="106" t="s">
        <v>87</v>
      </c>
    </row>
    <row r="14" spans="1:9" x14ac:dyDescent="0.2">
      <c r="A14" s="69"/>
      <c r="B14" t="s">
        <v>65</v>
      </c>
      <c r="C14" s="27">
        <v>375</v>
      </c>
      <c r="D14" s="33">
        <v>140.625</v>
      </c>
      <c r="E14" s="3">
        <v>0.75</v>
      </c>
      <c r="F14" s="37" t="s">
        <v>77</v>
      </c>
      <c r="G14" s="38"/>
      <c r="H14" s="38"/>
      <c r="I14" s="38"/>
    </row>
    <row r="15" spans="1:9" x14ac:dyDescent="0.2">
      <c r="A15" s="69"/>
      <c r="B15" t="s">
        <v>66</v>
      </c>
      <c r="C15" s="27"/>
      <c r="D15" s="6"/>
      <c r="E15" s="3">
        <v>1.05</v>
      </c>
      <c r="F15" s="42" t="s">
        <v>78</v>
      </c>
      <c r="G15" s="6" t="s">
        <v>86</v>
      </c>
      <c r="H15" s="43"/>
      <c r="I15" s="103" t="s">
        <v>86</v>
      </c>
    </row>
    <row r="16" spans="1:9" x14ac:dyDescent="0.2">
      <c r="A16" s="69"/>
      <c r="B16" t="s">
        <v>67</v>
      </c>
      <c r="C16" s="27"/>
      <c r="D16" s="6"/>
      <c r="E16" s="3">
        <v>1.05</v>
      </c>
      <c r="F16" s="34"/>
      <c r="G16" s="38" t="s">
        <v>81</v>
      </c>
      <c r="H16" s="38"/>
      <c r="I16" s="38" t="s">
        <v>101</v>
      </c>
    </row>
    <row r="17" spans="1:9" x14ac:dyDescent="0.2">
      <c r="A17" s="69"/>
      <c r="B17" t="s">
        <v>68</v>
      </c>
      <c r="C17" s="27">
        <v>625</v>
      </c>
      <c r="D17" s="6">
        <v>156.25</v>
      </c>
      <c r="E17" s="3">
        <v>1.05</v>
      </c>
      <c r="F17" s="34"/>
      <c r="G17" s="38" t="s">
        <v>82</v>
      </c>
      <c r="H17" s="38"/>
      <c r="I17" s="38" t="s">
        <v>102</v>
      </c>
    </row>
    <row r="18" spans="1:9" x14ac:dyDescent="0.2">
      <c r="A18" s="69"/>
      <c r="B18" t="s">
        <v>69</v>
      </c>
      <c r="C18" s="27"/>
      <c r="D18" s="6"/>
      <c r="E18" s="3">
        <v>1.05</v>
      </c>
      <c r="F18" s="34"/>
      <c r="G18" s="38"/>
      <c r="H18" s="38"/>
      <c r="I18" s="38"/>
    </row>
    <row r="19" spans="1:9" x14ac:dyDescent="0.2">
      <c r="A19" s="76"/>
      <c r="B19" s="26" t="s">
        <v>70</v>
      </c>
      <c r="C19" s="28">
        <v>471.83</v>
      </c>
      <c r="D19" s="29">
        <v>43.761457356902497</v>
      </c>
      <c r="E19" s="4"/>
      <c r="F19" s="35" t="s">
        <v>8</v>
      </c>
      <c r="G19" s="6"/>
      <c r="H19" s="39"/>
      <c r="I19" s="39"/>
    </row>
    <row r="20" spans="1:9" x14ac:dyDescent="0.2">
      <c r="A20" s="69" t="s">
        <v>2</v>
      </c>
      <c r="B20" t="s">
        <v>62</v>
      </c>
      <c r="C20" s="27">
        <v>493.75</v>
      </c>
      <c r="D20" s="6">
        <v>148.4375</v>
      </c>
      <c r="E20" s="3"/>
      <c r="F20" s="41" t="s">
        <v>76</v>
      </c>
      <c r="G20" s="5" t="s">
        <v>86</v>
      </c>
      <c r="H20" s="40" t="s">
        <v>85</v>
      </c>
      <c r="I20" s="101" t="s">
        <v>86</v>
      </c>
    </row>
    <row r="21" spans="1:9" x14ac:dyDescent="0.2">
      <c r="A21" s="69"/>
      <c r="B21" t="s">
        <v>63</v>
      </c>
      <c r="C21" s="27"/>
      <c r="D21" s="6"/>
      <c r="E21" s="3"/>
      <c r="F21" s="94">
        <v>0.11</v>
      </c>
      <c r="G21" s="38" t="s">
        <v>79</v>
      </c>
      <c r="H21" s="97" t="s">
        <v>83</v>
      </c>
      <c r="I21" s="38" t="s">
        <v>100</v>
      </c>
    </row>
    <row r="22" spans="1:9" x14ac:dyDescent="0.2">
      <c r="A22" s="69"/>
      <c r="B22" t="s">
        <v>64</v>
      </c>
      <c r="C22" s="27">
        <v>343.75</v>
      </c>
      <c r="D22" s="6">
        <v>125</v>
      </c>
      <c r="E22" s="3"/>
      <c r="G22" s="38" t="s">
        <v>80</v>
      </c>
      <c r="H22" s="43" t="s">
        <v>84</v>
      </c>
      <c r="I22" s="38" t="s">
        <v>103</v>
      </c>
    </row>
    <row r="23" spans="1:9" x14ac:dyDescent="0.2">
      <c r="A23" s="69"/>
      <c r="B23" t="s">
        <v>65</v>
      </c>
      <c r="C23" s="27">
        <v>375</v>
      </c>
      <c r="D23" s="31">
        <v>140.625</v>
      </c>
      <c r="E23" s="3"/>
      <c r="F23" s="95" t="s">
        <v>77</v>
      </c>
      <c r="G23" s="38"/>
      <c r="H23" s="43"/>
      <c r="I23" s="38" t="s">
        <v>104</v>
      </c>
    </row>
    <row r="24" spans="1:9" x14ac:dyDescent="0.2">
      <c r="A24" s="69"/>
      <c r="B24" t="s">
        <v>66</v>
      </c>
      <c r="C24" s="27"/>
      <c r="D24" s="6"/>
      <c r="E24" s="3"/>
      <c r="F24" s="95" t="s">
        <v>78</v>
      </c>
      <c r="G24" s="6" t="s">
        <v>86</v>
      </c>
      <c r="H24" s="43"/>
      <c r="I24" s="103"/>
    </row>
    <row r="25" spans="1:9" x14ac:dyDescent="0.2">
      <c r="A25" s="69"/>
      <c r="B25" t="s">
        <v>67</v>
      </c>
      <c r="C25" s="27"/>
      <c r="D25" s="6"/>
      <c r="E25" s="3"/>
      <c r="F25" s="99"/>
      <c r="G25" s="38" t="s">
        <v>81</v>
      </c>
      <c r="H25" s="43"/>
      <c r="I25" s="103" t="s">
        <v>86</v>
      </c>
    </row>
    <row r="26" spans="1:9" x14ac:dyDescent="0.2">
      <c r="A26" s="69"/>
      <c r="B26" t="s">
        <v>68</v>
      </c>
      <c r="C26" s="27">
        <v>625</v>
      </c>
      <c r="D26" s="6">
        <v>156.25</v>
      </c>
      <c r="E26" s="3"/>
      <c r="F26" s="99"/>
      <c r="G26" s="38" t="s">
        <v>82</v>
      </c>
      <c r="H26" s="43"/>
      <c r="I26" s="38" t="s">
        <v>101</v>
      </c>
    </row>
    <row r="27" spans="1:9" x14ac:dyDescent="0.2">
      <c r="A27" s="69"/>
      <c r="B27" t="s">
        <v>69</v>
      </c>
      <c r="C27" s="27"/>
      <c r="D27" s="6"/>
      <c r="E27" s="3"/>
      <c r="F27" s="99"/>
      <c r="G27" s="39"/>
      <c r="H27" s="43"/>
      <c r="I27" s="38" t="s">
        <v>103</v>
      </c>
    </row>
    <row r="28" spans="1:9" ht="32" x14ac:dyDescent="0.2">
      <c r="A28" s="76"/>
      <c r="B28" s="26" t="s">
        <v>70</v>
      </c>
      <c r="C28" s="28">
        <v>471.83</v>
      </c>
      <c r="D28" s="29">
        <v>43.761457356902497</v>
      </c>
      <c r="E28" s="4"/>
      <c r="G28" s="100" t="s">
        <v>109</v>
      </c>
      <c r="H28" s="39"/>
      <c r="I28" s="38" t="s">
        <v>104</v>
      </c>
    </row>
    <row r="29" spans="1:9" x14ac:dyDescent="0.2">
      <c r="A29" s="69" t="s">
        <v>3</v>
      </c>
      <c r="B29" t="s">
        <v>62</v>
      </c>
      <c r="C29" s="27">
        <v>493.75</v>
      </c>
      <c r="D29" s="6">
        <v>148.4375</v>
      </c>
      <c r="E29" s="5">
        <v>0.40500000000000003</v>
      </c>
      <c r="F29" s="101" t="s">
        <v>76</v>
      </c>
      <c r="G29" s="5" t="s">
        <v>86</v>
      </c>
      <c r="H29" s="40" t="s">
        <v>85</v>
      </c>
      <c r="I29" s="101" t="s">
        <v>86</v>
      </c>
    </row>
    <row r="30" spans="1:9" x14ac:dyDescent="0.2">
      <c r="A30" s="69"/>
      <c r="B30" t="s">
        <v>63</v>
      </c>
      <c r="C30" s="27"/>
      <c r="D30" s="6"/>
      <c r="E30" s="6">
        <v>0.40500000000000003</v>
      </c>
      <c r="F30" s="102">
        <v>0.11</v>
      </c>
      <c r="G30" s="38" t="s">
        <v>79</v>
      </c>
      <c r="H30" s="104" t="s">
        <v>83</v>
      </c>
      <c r="I30" s="38" t="s">
        <v>100</v>
      </c>
    </row>
    <row r="31" spans="1:9" x14ac:dyDescent="0.2">
      <c r="A31" s="69"/>
      <c r="B31" t="s">
        <v>64</v>
      </c>
      <c r="C31" s="27">
        <v>343.75</v>
      </c>
      <c r="D31" s="6">
        <v>125</v>
      </c>
      <c r="E31" s="6">
        <v>0.40500000000000003</v>
      </c>
      <c r="F31" s="6"/>
      <c r="G31" s="38" t="s">
        <v>120</v>
      </c>
      <c r="H31" s="96" t="s">
        <v>84</v>
      </c>
      <c r="I31" s="38" t="s">
        <v>103</v>
      </c>
    </row>
    <row r="32" spans="1:9" x14ac:dyDescent="0.2">
      <c r="A32" s="69"/>
      <c r="B32" t="s">
        <v>65</v>
      </c>
      <c r="C32" s="27">
        <v>375</v>
      </c>
      <c r="D32" s="31">
        <v>140.625</v>
      </c>
      <c r="E32" s="6">
        <v>0.40500000000000003</v>
      </c>
      <c r="F32" s="103" t="s">
        <v>77</v>
      </c>
      <c r="G32" s="38"/>
      <c r="H32" s="96"/>
      <c r="I32" s="38" t="s">
        <v>104</v>
      </c>
    </row>
    <row r="33" spans="1:9" x14ac:dyDescent="0.2">
      <c r="A33" s="69"/>
      <c r="B33" t="s">
        <v>66</v>
      </c>
      <c r="C33" s="27"/>
      <c r="D33" s="6"/>
      <c r="E33" s="6">
        <v>0.40500000000000003</v>
      </c>
      <c r="F33" s="103" t="s">
        <v>78</v>
      </c>
      <c r="G33" s="6" t="s">
        <v>86</v>
      </c>
      <c r="H33" s="96"/>
      <c r="I33" s="103"/>
    </row>
    <row r="34" spans="1:9" x14ac:dyDescent="0.2">
      <c r="A34" s="69"/>
      <c r="B34" t="s">
        <v>67</v>
      </c>
      <c r="C34" s="27"/>
      <c r="D34" s="6"/>
      <c r="E34" s="6">
        <v>0.40500000000000003</v>
      </c>
      <c r="F34" s="38"/>
      <c r="G34" s="38" t="s">
        <v>81</v>
      </c>
      <c r="H34" s="96"/>
      <c r="I34" s="103" t="s">
        <v>86</v>
      </c>
    </row>
    <row r="35" spans="1:9" x14ac:dyDescent="0.2">
      <c r="A35" s="69"/>
      <c r="B35" t="s">
        <v>68</v>
      </c>
      <c r="C35" s="27">
        <v>625</v>
      </c>
      <c r="D35" s="6">
        <v>156.25</v>
      </c>
      <c r="E35" s="6">
        <v>0.40500000000000003</v>
      </c>
      <c r="F35" s="38"/>
      <c r="G35" s="38" t="s">
        <v>82</v>
      </c>
      <c r="H35" s="96"/>
      <c r="I35" s="38" t="s">
        <v>101</v>
      </c>
    </row>
    <row r="36" spans="1:9" x14ac:dyDescent="0.2">
      <c r="A36" s="69"/>
      <c r="B36" t="s">
        <v>69</v>
      </c>
      <c r="C36" s="27"/>
      <c r="D36" s="6"/>
      <c r="E36" s="6">
        <v>0.40500000000000003</v>
      </c>
      <c r="F36" s="39"/>
      <c r="G36" s="39"/>
      <c r="H36" s="96"/>
      <c r="I36" s="38" t="s">
        <v>103</v>
      </c>
    </row>
    <row r="37" spans="1:9" ht="64" x14ac:dyDescent="0.2">
      <c r="A37" s="69"/>
      <c r="B37" s="26" t="s">
        <v>70</v>
      </c>
      <c r="C37" s="28">
        <v>471.83</v>
      </c>
      <c r="D37" s="29">
        <v>43.761457356902497</v>
      </c>
      <c r="E37" s="7">
        <v>0.40500000000000003</v>
      </c>
      <c r="F37" s="46"/>
      <c r="G37" s="98" t="s">
        <v>110</v>
      </c>
      <c r="H37" s="105"/>
      <c r="I37" s="39" t="s">
        <v>104</v>
      </c>
    </row>
    <row r="38" spans="1:9" x14ac:dyDescent="0.2">
      <c r="A38" s="63" t="s">
        <v>88</v>
      </c>
      <c r="B38" s="44" t="s">
        <v>89</v>
      </c>
      <c r="C38" s="47">
        <v>815.09433962264097</v>
      </c>
      <c r="D38" s="49">
        <v>37.735849056603698</v>
      </c>
      <c r="E38" s="57">
        <v>0.23666670000000001</v>
      </c>
    </row>
    <row r="39" spans="1:9" x14ac:dyDescent="0.2">
      <c r="A39" s="64"/>
      <c r="B39" s="45" t="s">
        <v>90</v>
      </c>
      <c r="C39" s="47">
        <v>815.09433962264097</v>
      </c>
      <c r="D39" s="33">
        <v>75.471698113207495</v>
      </c>
      <c r="E39" s="58">
        <v>0.23666670000000001</v>
      </c>
    </row>
    <row r="40" spans="1:9" x14ac:dyDescent="0.2">
      <c r="A40" s="64"/>
      <c r="B40" s="45" t="s">
        <v>91</v>
      </c>
      <c r="C40" s="47">
        <v>822.64150943396203</v>
      </c>
      <c r="D40" s="33">
        <v>15.094339622641501</v>
      </c>
      <c r="E40" s="58">
        <v>0.23666670000000001</v>
      </c>
    </row>
    <row r="41" spans="1:9" x14ac:dyDescent="0.2">
      <c r="A41" s="64"/>
      <c r="B41" s="45" t="s">
        <v>92</v>
      </c>
      <c r="C41" s="47">
        <v>816.60377358490496</v>
      </c>
      <c r="D41" s="33">
        <v>22.641509433962199</v>
      </c>
      <c r="E41" s="58">
        <v>0.23666670000000001</v>
      </c>
    </row>
    <row r="42" spans="1:9" x14ac:dyDescent="0.2">
      <c r="A42" s="64"/>
      <c r="B42" s="45" t="s">
        <v>93</v>
      </c>
      <c r="C42" s="47"/>
      <c r="D42" s="33"/>
      <c r="E42" s="58">
        <v>0.23666670000000001</v>
      </c>
    </row>
    <row r="43" spans="1:9" x14ac:dyDescent="0.2">
      <c r="A43" s="64"/>
      <c r="B43" s="45" t="s">
        <v>94</v>
      </c>
      <c r="C43" s="47"/>
      <c r="D43" s="33"/>
      <c r="E43" s="58">
        <v>0.23666670000000001</v>
      </c>
    </row>
    <row r="44" spans="1:9" x14ac:dyDescent="0.2">
      <c r="A44" s="64"/>
      <c r="B44" s="45" t="s">
        <v>95</v>
      </c>
      <c r="C44" s="47">
        <v>679.24528301886699</v>
      </c>
      <c r="D44" s="33">
        <v>45.283018867924497</v>
      </c>
      <c r="E44" s="58">
        <v>0.23666670000000001</v>
      </c>
    </row>
    <row r="45" spans="1:9" x14ac:dyDescent="0.2">
      <c r="A45" s="64"/>
      <c r="B45" s="45" t="s">
        <v>96</v>
      </c>
      <c r="C45" s="47">
        <v>1358.4905660377301</v>
      </c>
      <c r="D45" s="33">
        <v>528.30188679245202</v>
      </c>
      <c r="E45" s="58">
        <v>0.23666670000000001</v>
      </c>
    </row>
    <row r="46" spans="1:9" x14ac:dyDescent="0.2">
      <c r="A46" s="65"/>
      <c r="B46" s="46" t="s">
        <v>70</v>
      </c>
      <c r="C46" s="48"/>
      <c r="D46" s="48"/>
      <c r="E46" s="59">
        <v>0.23666670000000001</v>
      </c>
    </row>
  </sheetData>
  <mergeCells count="12">
    <mergeCell ref="A38:A46"/>
    <mergeCell ref="H2:H10"/>
    <mergeCell ref="I2:I10"/>
    <mergeCell ref="A29:A37"/>
    <mergeCell ref="C2:C10"/>
    <mergeCell ref="D2:D10"/>
    <mergeCell ref="E2:E10"/>
    <mergeCell ref="A2:A10"/>
    <mergeCell ref="A20:A28"/>
    <mergeCell ref="A11:A19"/>
    <mergeCell ref="F2:F10"/>
    <mergeCell ref="G2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E045-B5FC-9647-BC00-DFA39DD8FE3E}">
  <dimension ref="A1:E46"/>
  <sheetViews>
    <sheetView zoomScale="140" zoomScaleNormal="140" workbookViewId="0">
      <selection activeCell="B54" sqref="B54"/>
    </sheetView>
  </sheetViews>
  <sheetFormatPr baseColWidth="10" defaultRowHeight="15" x14ac:dyDescent="0.2"/>
  <cols>
    <col min="1" max="1" width="28.5" customWidth="1"/>
    <col min="2" max="2" width="44.6640625" bestFit="1" customWidth="1"/>
    <col min="3" max="3" width="10" customWidth="1"/>
    <col min="4" max="4" width="11.33203125" customWidth="1"/>
    <col min="5" max="5" width="11.83203125" customWidth="1"/>
  </cols>
  <sheetData>
    <row r="1" spans="1:5" ht="32" x14ac:dyDescent="0.2">
      <c r="A1" s="23" t="s">
        <v>9</v>
      </c>
      <c r="B1" s="25" t="s">
        <v>71</v>
      </c>
      <c r="C1" s="21" t="s">
        <v>106</v>
      </c>
      <c r="D1" s="21" t="s">
        <v>105</v>
      </c>
      <c r="E1" s="24" t="s">
        <v>107</v>
      </c>
    </row>
    <row r="2" spans="1:5" x14ac:dyDescent="0.2">
      <c r="A2" s="73" t="s">
        <v>0</v>
      </c>
      <c r="B2" s="32" t="s">
        <v>62</v>
      </c>
      <c r="C2" s="70"/>
      <c r="D2" s="70"/>
      <c r="E2" s="70"/>
    </row>
    <row r="3" spans="1:5" x14ac:dyDescent="0.2">
      <c r="A3" s="74"/>
      <c r="B3" t="s">
        <v>63</v>
      </c>
      <c r="C3" s="71"/>
      <c r="D3" s="71"/>
      <c r="E3" s="71"/>
    </row>
    <row r="4" spans="1:5" x14ac:dyDescent="0.2">
      <c r="A4" s="74"/>
      <c r="B4" t="s">
        <v>64</v>
      </c>
      <c r="C4" s="71"/>
      <c r="D4" s="71"/>
      <c r="E4" s="71"/>
    </row>
    <row r="5" spans="1:5" x14ac:dyDescent="0.2">
      <c r="A5" s="74"/>
      <c r="B5" t="s">
        <v>65</v>
      </c>
      <c r="C5" s="71"/>
      <c r="D5" s="71"/>
      <c r="E5" s="71"/>
    </row>
    <row r="6" spans="1:5" x14ac:dyDescent="0.2">
      <c r="A6" s="74"/>
      <c r="B6" t="s">
        <v>66</v>
      </c>
      <c r="C6" s="71"/>
      <c r="D6" s="71"/>
      <c r="E6" s="71"/>
    </row>
    <row r="7" spans="1:5" x14ac:dyDescent="0.2">
      <c r="A7" s="74"/>
      <c r="B7" t="s">
        <v>67</v>
      </c>
      <c r="C7" s="71"/>
      <c r="D7" s="71"/>
      <c r="E7" s="71"/>
    </row>
    <row r="8" spans="1:5" x14ac:dyDescent="0.2">
      <c r="A8" s="74"/>
      <c r="B8" t="s">
        <v>68</v>
      </c>
      <c r="C8" s="71"/>
      <c r="D8" s="71"/>
      <c r="E8" s="71"/>
    </row>
    <row r="9" spans="1:5" x14ac:dyDescent="0.2">
      <c r="A9" s="74"/>
      <c r="B9" t="s">
        <v>69</v>
      </c>
      <c r="C9" s="71"/>
      <c r="D9" s="71"/>
      <c r="E9" s="71"/>
    </row>
    <row r="10" spans="1:5" x14ac:dyDescent="0.2">
      <c r="A10" s="75"/>
      <c r="B10" s="26" t="s">
        <v>70</v>
      </c>
      <c r="C10" s="71"/>
      <c r="D10" s="72"/>
      <c r="E10" s="71"/>
    </row>
    <row r="11" spans="1:5" x14ac:dyDescent="0.2">
      <c r="A11" s="77" t="s">
        <v>1</v>
      </c>
      <c r="B11" s="32" t="s">
        <v>62</v>
      </c>
      <c r="C11" s="51">
        <f>data_imperial!C11*2.471</f>
        <v>1220.0562500000001</v>
      </c>
      <c r="D11" s="60">
        <f>data_imperial!D11*2.471</f>
        <v>366.7890625</v>
      </c>
      <c r="E11" s="54">
        <f>data_imperial!E11*2.20462</f>
        <v>1.6534649999999997</v>
      </c>
    </row>
    <row r="12" spans="1:5" x14ac:dyDescent="0.2">
      <c r="A12" s="69"/>
      <c r="B12" t="s">
        <v>63</v>
      </c>
      <c r="C12" s="52"/>
      <c r="D12" s="61"/>
      <c r="E12" s="55">
        <f>data_imperial!E12*2.20462</f>
        <v>1.6534649999999997</v>
      </c>
    </row>
    <row r="13" spans="1:5" x14ac:dyDescent="0.2">
      <c r="A13" s="69"/>
      <c r="B13" t="s">
        <v>64</v>
      </c>
      <c r="C13" s="52">
        <f>data_imperial!C13*2.471</f>
        <v>849.40625</v>
      </c>
      <c r="D13" s="61">
        <f>data_imperial!D13*2.471</f>
        <v>308.875</v>
      </c>
      <c r="E13" s="55">
        <f>data_imperial!E13*2.20462</f>
        <v>1.6534649999999997</v>
      </c>
    </row>
    <row r="14" spans="1:5" x14ac:dyDescent="0.2">
      <c r="A14" s="69"/>
      <c r="B14" t="s">
        <v>65</v>
      </c>
      <c r="C14" s="52">
        <f>data_imperial!C14*2.471</f>
        <v>926.625</v>
      </c>
      <c r="D14" s="61">
        <f>data_imperial!D14*2.471</f>
        <v>347.484375</v>
      </c>
      <c r="E14" s="55">
        <f>data_imperial!E14*2.20462</f>
        <v>1.6534649999999997</v>
      </c>
    </row>
    <row r="15" spans="1:5" x14ac:dyDescent="0.2">
      <c r="A15" s="69"/>
      <c r="B15" t="s">
        <v>66</v>
      </c>
      <c r="C15" s="52"/>
      <c r="D15" s="61"/>
      <c r="E15" s="55">
        <f>data_imperial!E15*2.20462</f>
        <v>2.314851</v>
      </c>
    </row>
    <row r="16" spans="1:5" x14ac:dyDescent="0.2">
      <c r="A16" s="69"/>
      <c r="B16" t="s">
        <v>67</v>
      </c>
      <c r="C16" s="52"/>
      <c r="D16" s="61"/>
      <c r="E16" s="55">
        <f>data_imperial!E16*2.20462</f>
        <v>2.314851</v>
      </c>
    </row>
    <row r="17" spans="1:5" x14ac:dyDescent="0.2">
      <c r="A17" s="69"/>
      <c r="B17" t="s">
        <v>68</v>
      </c>
      <c r="C17" s="52">
        <f>data_imperial!C17*2.471</f>
        <v>1544.375</v>
      </c>
      <c r="D17" s="61">
        <f>data_imperial!D17*2.471</f>
        <v>386.09375</v>
      </c>
      <c r="E17" s="55">
        <f>data_imperial!E17*2.20462</f>
        <v>2.314851</v>
      </c>
    </row>
    <row r="18" spans="1:5" x14ac:dyDescent="0.2">
      <c r="A18" s="69"/>
      <c r="B18" t="s">
        <v>69</v>
      </c>
      <c r="C18" s="52"/>
      <c r="D18" s="61"/>
      <c r="E18" s="55">
        <f>data_imperial!E18*2.20462</f>
        <v>2.314851</v>
      </c>
    </row>
    <row r="19" spans="1:5" x14ac:dyDescent="0.2">
      <c r="A19" s="76"/>
      <c r="B19" s="26" t="s">
        <v>70</v>
      </c>
      <c r="C19" s="53">
        <f>data_imperial!C19*2.471</f>
        <v>1165.89193</v>
      </c>
      <c r="D19" s="62">
        <f>data_imperial!D19*2.471</f>
        <v>108.13456112890607</v>
      </c>
      <c r="E19" s="56">
        <f>data_imperial!E19*2.20462</f>
        <v>0</v>
      </c>
    </row>
    <row r="20" spans="1:5" x14ac:dyDescent="0.2">
      <c r="A20" s="69" t="s">
        <v>2</v>
      </c>
      <c r="B20" t="s">
        <v>62</v>
      </c>
      <c r="C20" s="50">
        <f>data_imperial!C20*2.471</f>
        <v>1220.0562500000001</v>
      </c>
      <c r="D20" s="50">
        <f>data_imperial!D20*2.471</f>
        <v>366.7890625</v>
      </c>
      <c r="E20" s="54">
        <f>data_imperial!E20*2.20462</f>
        <v>0</v>
      </c>
    </row>
    <row r="21" spans="1:5" x14ac:dyDescent="0.2">
      <c r="A21" s="69"/>
      <c r="B21" t="s">
        <v>63</v>
      </c>
      <c r="C21" s="50"/>
      <c r="D21" s="50"/>
      <c r="E21" s="55">
        <f>data_imperial!E21*2.20462</f>
        <v>0</v>
      </c>
    </row>
    <row r="22" spans="1:5" x14ac:dyDescent="0.2">
      <c r="A22" s="69"/>
      <c r="B22" t="s">
        <v>64</v>
      </c>
      <c r="C22" s="50">
        <f>data_imperial!C22*2.471</f>
        <v>849.40625</v>
      </c>
      <c r="D22" s="50">
        <f>data_imperial!D22*2.471</f>
        <v>308.875</v>
      </c>
      <c r="E22" s="55">
        <f>data_imperial!E22*2.20462</f>
        <v>0</v>
      </c>
    </row>
    <row r="23" spans="1:5" x14ac:dyDescent="0.2">
      <c r="A23" s="69"/>
      <c r="B23" t="s">
        <v>65</v>
      </c>
      <c r="C23" s="50">
        <f>data_imperial!C23*2.471</f>
        <v>926.625</v>
      </c>
      <c r="D23" s="50">
        <f>data_imperial!D23*2.471</f>
        <v>347.484375</v>
      </c>
      <c r="E23" s="55">
        <f>data_imperial!E23*2.20462</f>
        <v>0</v>
      </c>
    </row>
    <row r="24" spans="1:5" x14ac:dyDescent="0.2">
      <c r="A24" s="69"/>
      <c r="B24" t="s">
        <v>66</v>
      </c>
      <c r="C24" s="50"/>
      <c r="D24" s="50"/>
      <c r="E24" s="55">
        <f>data_imperial!E24*2.20462</f>
        <v>0</v>
      </c>
    </row>
    <row r="25" spans="1:5" x14ac:dyDescent="0.2">
      <c r="A25" s="69"/>
      <c r="B25" t="s">
        <v>67</v>
      </c>
      <c r="C25" s="50"/>
      <c r="D25" s="50"/>
      <c r="E25" s="55">
        <f>data_imperial!E25*2.20462</f>
        <v>0</v>
      </c>
    </row>
    <row r="26" spans="1:5" x14ac:dyDescent="0.2">
      <c r="A26" s="69"/>
      <c r="B26" t="s">
        <v>68</v>
      </c>
      <c r="C26" s="50">
        <f>data_imperial!C26*2.471</f>
        <v>1544.375</v>
      </c>
      <c r="D26" s="50">
        <f>data_imperial!D26*2.471</f>
        <v>386.09375</v>
      </c>
      <c r="E26" s="55">
        <f>data_imperial!E26*2.20462</f>
        <v>0</v>
      </c>
    </row>
    <row r="27" spans="1:5" x14ac:dyDescent="0.2">
      <c r="A27" s="69"/>
      <c r="B27" t="s">
        <v>69</v>
      </c>
      <c r="C27" s="50"/>
      <c r="D27" s="50"/>
      <c r="E27" s="55">
        <f>data_imperial!E27*2.20462</f>
        <v>0</v>
      </c>
    </row>
    <row r="28" spans="1:5" x14ac:dyDescent="0.2">
      <c r="A28" s="76"/>
      <c r="B28" s="26" t="s">
        <v>70</v>
      </c>
      <c r="C28" s="50">
        <f>data_imperial!C28*2.471</f>
        <v>1165.89193</v>
      </c>
      <c r="D28" s="50">
        <f>data_imperial!D28*2.471</f>
        <v>108.13456112890607</v>
      </c>
      <c r="E28" s="56">
        <f>data_imperial!E28*2.20462</f>
        <v>0</v>
      </c>
    </row>
    <row r="29" spans="1:5" x14ac:dyDescent="0.2">
      <c r="A29" s="69" t="s">
        <v>3</v>
      </c>
      <c r="B29" t="s">
        <v>62</v>
      </c>
      <c r="C29" s="51">
        <f>data_imperial!C29*2.471</f>
        <v>1220.0562500000001</v>
      </c>
      <c r="D29" s="51">
        <f>data_imperial!D29*2.471</f>
        <v>366.7890625</v>
      </c>
      <c r="E29" s="54">
        <f>data_imperial!E29*2.20462</f>
        <v>0.89287110000000003</v>
      </c>
    </row>
    <row r="30" spans="1:5" x14ac:dyDescent="0.2">
      <c r="A30" s="69"/>
      <c r="B30" t="s">
        <v>63</v>
      </c>
      <c r="C30" s="52"/>
      <c r="D30" s="52"/>
      <c r="E30" s="55">
        <f>data_imperial!E30*2.20462</f>
        <v>0.89287110000000003</v>
      </c>
    </row>
    <row r="31" spans="1:5" x14ac:dyDescent="0.2">
      <c r="A31" s="69"/>
      <c r="B31" t="s">
        <v>64</v>
      </c>
      <c r="C31" s="52">
        <f>data_imperial!C31*2.471</f>
        <v>849.40625</v>
      </c>
      <c r="D31" s="52">
        <f>data_imperial!D31*2.471</f>
        <v>308.875</v>
      </c>
      <c r="E31" s="55">
        <f>data_imperial!E31*2.20462</f>
        <v>0.89287110000000003</v>
      </c>
    </row>
    <row r="32" spans="1:5" x14ac:dyDescent="0.2">
      <c r="A32" s="69"/>
      <c r="B32" t="s">
        <v>65</v>
      </c>
      <c r="C32" s="52">
        <f>data_imperial!C32*2.471</f>
        <v>926.625</v>
      </c>
      <c r="D32" s="52">
        <f>data_imperial!D32*2.471</f>
        <v>347.484375</v>
      </c>
      <c r="E32" s="55">
        <f>data_imperial!E32*2.20462</f>
        <v>0.89287110000000003</v>
      </c>
    </row>
    <row r="33" spans="1:5" x14ac:dyDescent="0.2">
      <c r="A33" s="69"/>
      <c r="B33" t="s">
        <v>66</v>
      </c>
      <c r="C33" s="52"/>
      <c r="D33" s="52"/>
      <c r="E33" s="55">
        <f>data_imperial!E33*2.20462</f>
        <v>0.89287110000000003</v>
      </c>
    </row>
    <row r="34" spans="1:5" x14ac:dyDescent="0.2">
      <c r="A34" s="69"/>
      <c r="B34" t="s">
        <v>67</v>
      </c>
      <c r="C34" s="52"/>
      <c r="D34" s="52"/>
      <c r="E34" s="55">
        <f>data_imperial!E34*2.20462</f>
        <v>0.89287110000000003</v>
      </c>
    </row>
    <row r="35" spans="1:5" x14ac:dyDescent="0.2">
      <c r="A35" s="69"/>
      <c r="B35" t="s">
        <v>68</v>
      </c>
      <c r="C35" s="52">
        <f>data_imperial!C35*2.471</f>
        <v>1544.375</v>
      </c>
      <c r="D35" s="52">
        <f>data_imperial!D35*2.471</f>
        <v>386.09375</v>
      </c>
      <c r="E35" s="55">
        <f>data_imperial!E35*2.20462</f>
        <v>0.89287110000000003</v>
      </c>
    </row>
    <row r="36" spans="1:5" x14ac:dyDescent="0.2">
      <c r="A36" s="69"/>
      <c r="B36" t="s">
        <v>69</v>
      </c>
      <c r="C36" s="52"/>
      <c r="D36" s="52"/>
      <c r="E36" s="55">
        <f>data_imperial!E36*2.20462</f>
        <v>0.89287110000000003</v>
      </c>
    </row>
    <row r="37" spans="1:5" x14ac:dyDescent="0.2">
      <c r="A37" s="69"/>
      <c r="B37" s="26" t="s">
        <v>70</v>
      </c>
      <c r="C37" s="53">
        <f>data_imperial!C37*2.471</f>
        <v>1165.89193</v>
      </c>
      <c r="D37" s="53">
        <f>data_imperial!D37*2.471</f>
        <v>108.13456112890607</v>
      </c>
      <c r="E37" s="56">
        <f>data_imperial!E37*2.20462</f>
        <v>0.89287110000000003</v>
      </c>
    </row>
    <row r="38" spans="1:5" x14ac:dyDescent="0.2">
      <c r="A38" s="63" t="s">
        <v>88</v>
      </c>
      <c r="B38" s="32" t="s">
        <v>89</v>
      </c>
      <c r="C38" s="51"/>
      <c r="D38" s="51"/>
      <c r="E38" s="54">
        <f>data_imperial!E38*2.20462</f>
        <v>0.52176014015399996</v>
      </c>
    </row>
    <row r="39" spans="1:5" x14ac:dyDescent="0.2">
      <c r="A39" s="64"/>
      <c r="B39" t="s">
        <v>90</v>
      </c>
      <c r="C39" s="52"/>
      <c r="D39" s="52"/>
      <c r="E39" s="55">
        <f>data_imperial!E39*2.20462</f>
        <v>0.52176014015399996</v>
      </c>
    </row>
    <row r="40" spans="1:5" x14ac:dyDescent="0.2">
      <c r="A40" s="64"/>
      <c r="B40" t="s">
        <v>91</v>
      </c>
      <c r="C40" s="52">
        <f>data_imperial!C40*2.471</f>
        <v>2032.7471698113202</v>
      </c>
      <c r="D40" s="52">
        <f>data_imperial!D40*2.471</f>
        <v>37.298113207547146</v>
      </c>
      <c r="E40" s="55">
        <f>data_imperial!E40*2.20462</f>
        <v>0.52176014015399996</v>
      </c>
    </row>
    <row r="41" spans="1:5" x14ac:dyDescent="0.2">
      <c r="A41" s="64"/>
      <c r="B41" t="s">
        <v>92</v>
      </c>
      <c r="C41" s="52">
        <f>data_imperial!C41*2.471</f>
        <v>2017.8279245283002</v>
      </c>
      <c r="D41" s="52">
        <f>data_imperial!D41*2.471</f>
        <v>55.947169811320592</v>
      </c>
      <c r="E41" s="55">
        <f>data_imperial!E41*2.20462</f>
        <v>0.52176014015399996</v>
      </c>
    </row>
    <row r="42" spans="1:5" x14ac:dyDescent="0.2">
      <c r="A42" s="64"/>
      <c r="B42" t="s">
        <v>93</v>
      </c>
      <c r="C42" s="52"/>
      <c r="D42" s="52"/>
      <c r="E42" s="55">
        <f>data_imperial!E42*2.20462</f>
        <v>0.52176014015399996</v>
      </c>
    </row>
    <row r="43" spans="1:5" x14ac:dyDescent="0.2">
      <c r="A43" s="64"/>
      <c r="B43" t="s">
        <v>94</v>
      </c>
      <c r="C43" s="52"/>
      <c r="D43" s="52"/>
      <c r="E43" s="55">
        <f>data_imperial!E43*2.20462</f>
        <v>0.52176014015399996</v>
      </c>
    </row>
    <row r="44" spans="1:5" x14ac:dyDescent="0.2">
      <c r="A44" s="64"/>
      <c r="B44" t="s">
        <v>95</v>
      </c>
      <c r="C44" s="52">
        <f>data_imperial!C44*2.471</f>
        <v>1678.4150943396203</v>
      </c>
      <c r="D44" s="52">
        <f>data_imperial!D44*2.471</f>
        <v>111.89433962264144</v>
      </c>
      <c r="E44" s="55">
        <f>data_imperial!E44*2.20462</f>
        <v>0.52176014015399996</v>
      </c>
    </row>
    <row r="45" spans="1:5" x14ac:dyDescent="0.2">
      <c r="A45" s="64"/>
      <c r="B45" t="s">
        <v>96</v>
      </c>
      <c r="C45" s="52">
        <f>data_imperial!C45*2.471</f>
        <v>3356.830188679231</v>
      </c>
      <c r="D45" s="52">
        <f>data_imperial!D45*2.471</f>
        <v>1305.4339622641489</v>
      </c>
      <c r="E45" s="55">
        <f>data_imperial!E45*2.20462</f>
        <v>0.52176014015399996</v>
      </c>
    </row>
    <row r="46" spans="1:5" x14ac:dyDescent="0.2">
      <c r="A46" s="65"/>
      <c r="B46" s="26" t="s">
        <v>70</v>
      </c>
      <c r="C46" s="53"/>
      <c r="D46" s="53"/>
      <c r="E46" s="56">
        <f>data_imperial!E46*2.20462</f>
        <v>0.52176014015399996</v>
      </c>
    </row>
  </sheetData>
  <mergeCells count="8">
    <mergeCell ref="E2:E10"/>
    <mergeCell ref="A11:A19"/>
    <mergeCell ref="A20:A28"/>
    <mergeCell ref="A29:A37"/>
    <mergeCell ref="A38:A46"/>
    <mergeCell ref="A2:A10"/>
    <mergeCell ref="C2:C10"/>
    <mergeCell ref="D2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6E4D-FA11-FB43-A49B-45FB58D49081}">
  <dimension ref="A1:A13"/>
  <sheetViews>
    <sheetView zoomScale="160" zoomScaleNormal="160" workbookViewId="0">
      <selection activeCell="A11" sqref="A11"/>
    </sheetView>
  </sheetViews>
  <sheetFormatPr baseColWidth="10" defaultRowHeight="15" x14ac:dyDescent="0.2"/>
  <sheetData>
    <row r="1" spans="1:1" x14ac:dyDescent="0.2">
      <c r="A1" t="s">
        <v>72</v>
      </c>
    </row>
    <row r="3" spans="1:1" x14ac:dyDescent="0.2">
      <c r="A3" t="s">
        <v>97</v>
      </c>
    </row>
    <row r="4" spans="1:1" x14ac:dyDescent="0.2">
      <c r="A4" t="s">
        <v>98</v>
      </c>
    </row>
    <row r="5" spans="1:1" x14ac:dyDescent="0.2">
      <c r="A5" t="s">
        <v>99</v>
      </c>
    </row>
    <row r="7" spans="1:1" x14ac:dyDescent="0.2">
      <c r="A7" t="s">
        <v>108</v>
      </c>
    </row>
    <row r="10" spans="1:1" x14ac:dyDescent="0.2">
      <c r="A10" s="39"/>
    </row>
    <row r="13" spans="1:1" x14ac:dyDescent="0.2">
      <c r="A13" s="10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4EE3-88A4-C64C-BC17-79D6DED5A007}">
  <dimension ref="A1:G25"/>
  <sheetViews>
    <sheetView zoomScale="140" zoomScaleNormal="140" workbookViewId="0">
      <selection activeCell="A22" sqref="A22"/>
    </sheetView>
  </sheetViews>
  <sheetFormatPr baseColWidth="10" defaultRowHeight="15" x14ac:dyDescent="0.2"/>
  <sheetData>
    <row r="1" spans="1:2" x14ac:dyDescent="0.2">
      <c r="A1" t="s">
        <v>113</v>
      </c>
      <c r="B1" t="s">
        <v>112</v>
      </c>
    </row>
    <row r="2" spans="1:2" ht="16" x14ac:dyDescent="0.2">
      <c r="A2" s="93" t="s">
        <v>111</v>
      </c>
      <c r="B2">
        <f>0.07*16</f>
        <v>1.1200000000000001</v>
      </c>
    </row>
    <row r="4" spans="1:2" x14ac:dyDescent="0.2">
      <c r="A4" t="s">
        <v>114</v>
      </c>
    </row>
    <row r="5" spans="1:2" x14ac:dyDescent="0.2">
      <c r="A5" t="s">
        <v>115</v>
      </c>
    </row>
    <row r="6" spans="1:2" x14ac:dyDescent="0.2">
      <c r="A6">
        <f>57/50</f>
        <v>1.1399999999999999</v>
      </c>
    </row>
    <row r="10" spans="1:2" x14ac:dyDescent="0.2">
      <c r="A10">
        <v>38.82</v>
      </c>
    </row>
    <row r="11" spans="1:2" x14ac:dyDescent="0.2">
      <c r="A11">
        <v>24</v>
      </c>
    </row>
    <row r="12" spans="1:2" x14ac:dyDescent="0.2">
      <c r="A12">
        <v>15.15</v>
      </c>
    </row>
    <row r="13" spans="1:2" x14ac:dyDescent="0.2">
      <c r="A13">
        <f>A10/A11</f>
        <v>1.6174999999999999</v>
      </c>
    </row>
    <row r="14" spans="1:2" x14ac:dyDescent="0.2">
      <c r="A14">
        <f>A13/A12</f>
        <v>0.10676567656765676</v>
      </c>
    </row>
    <row r="15" spans="1:2" x14ac:dyDescent="0.2">
      <c r="A15">
        <f>A14*16</f>
        <v>1.7082508250825081</v>
      </c>
      <c r="B15" t="s">
        <v>116</v>
      </c>
    </row>
    <row r="18" spans="1:7" x14ac:dyDescent="0.2">
      <c r="A18" s="108" t="s">
        <v>117</v>
      </c>
    </row>
    <row r="19" spans="1:7" x14ac:dyDescent="0.2">
      <c r="A19" t="s">
        <v>118</v>
      </c>
      <c r="B19">
        <v>0.40500000000000003</v>
      </c>
      <c r="F19" s="110"/>
    </row>
    <row r="20" spans="1:7" x14ac:dyDescent="0.2">
      <c r="A20" t="s">
        <v>119</v>
      </c>
      <c r="B20">
        <v>0.74</v>
      </c>
      <c r="C20" t="s">
        <v>101</v>
      </c>
      <c r="F20" s="110"/>
    </row>
    <row r="22" spans="1:7" x14ac:dyDescent="0.2">
      <c r="B22" s="109"/>
    </row>
    <row r="23" spans="1:7" x14ac:dyDescent="0.2">
      <c r="B23" s="109"/>
    </row>
    <row r="24" spans="1:7" x14ac:dyDescent="0.2">
      <c r="G24" s="110"/>
    </row>
    <row r="25" spans="1:7" x14ac:dyDescent="0.2">
      <c r="G25" s="1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BA1B-DE25-4305-A6F4-F8A1DBEF2FF4}">
  <dimension ref="A1:E23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23" customWidth="1"/>
    <col min="2" max="2" width="26.5" customWidth="1"/>
    <col min="3" max="3" width="21.5" customWidth="1"/>
    <col min="4" max="4" width="24.83203125" customWidth="1"/>
    <col min="5" max="5" width="38.6640625" customWidth="1"/>
  </cols>
  <sheetData>
    <row r="1" spans="1:5" ht="52" thickBot="1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</row>
    <row r="2" spans="1:5" ht="17" thickTop="1" x14ac:dyDescent="0.2">
      <c r="A2" s="81" t="s">
        <v>9</v>
      </c>
      <c r="B2" s="9">
        <v>9.0509999999999993E-2</v>
      </c>
      <c r="C2" s="9">
        <v>0.35820000000000002</v>
      </c>
      <c r="D2" s="9">
        <v>0.51800000000000002</v>
      </c>
      <c r="E2" s="9">
        <v>1.0129999999999999</v>
      </c>
    </row>
    <row r="3" spans="1:5" ht="69" thickBot="1" x14ac:dyDescent="0.25">
      <c r="A3" s="82"/>
      <c r="B3" s="10" t="s">
        <v>15</v>
      </c>
      <c r="C3" s="10" t="s">
        <v>16</v>
      </c>
      <c r="D3" s="10" t="s">
        <v>17</v>
      </c>
      <c r="E3" s="10" t="s">
        <v>18</v>
      </c>
    </row>
    <row r="4" spans="1:5" ht="34" x14ac:dyDescent="0.2">
      <c r="A4" s="83" t="s">
        <v>19</v>
      </c>
      <c r="B4" s="11" t="s">
        <v>20</v>
      </c>
      <c r="C4" s="11" t="s">
        <v>26</v>
      </c>
      <c r="D4" s="86" t="s">
        <v>8</v>
      </c>
      <c r="E4" s="11" t="s">
        <v>32</v>
      </c>
    </row>
    <row r="5" spans="1:5" ht="37" x14ac:dyDescent="0.2">
      <c r="A5" s="84"/>
      <c r="B5" s="12" t="s">
        <v>21</v>
      </c>
      <c r="C5" s="12" t="s">
        <v>27</v>
      </c>
      <c r="D5" s="87"/>
      <c r="E5" s="12" t="s">
        <v>33</v>
      </c>
    </row>
    <row r="6" spans="1:5" ht="17" x14ac:dyDescent="0.2">
      <c r="A6" s="84"/>
      <c r="B6" s="12" t="s">
        <v>22</v>
      </c>
      <c r="C6" s="12" t="s">
        <v>28</v>
      </c>
      <c r="D6" s="87"/>
      <c r="E6" s="12" t="s">
        <v>34</v>
      </c>
    </row>
    <row r="7" spans="1:5" ht="34" x14ac:dyDescent="0.2">
      <c r="A7" s="84"/>
      <c r="B7" s="12" t="s">
        <v>23</v>
      </c>
      <c r="C7" s="12" t="s">
        <v>29</v>
      </c>
      <c r="D7" s="87"/>
      <c r="E7" s="12" t="s">
        <v>35</v>
      </c>
    </row>
    <row r="8" spans="1:5" ht="20" x14ac:dyDescent="0.2">
      <c r="A8" s="84"/>
      <c r="B8" s="12" t="s">
        <v>24</v>
      </c>
      <c r="C8" s="12" t="s">
        <v>30</v>
      </c>
      <c r="D8" s="87"/>
      <c r="E8" s="12" t="s">
        <v>36</v>
      </c>
    </row>
    <row r="9" spans="1:5" ht="35" thickBot="1" x14ac:dyDescent="0.25">
      <c r="A9" s="85"/>
      <c r="B9" s="13" t="s">
        <v>25</v>
      </c>
      <c r="C9" s="13" t="s">
        <v>31</v>
      </c>
      <c r="D9" s="88"/>
      <c r="E9" s="14"/>
    </row>
    <row r="10" spans="1:5" ht="34" x14ac:dyDescent="0.2">
      <c r="A10" s="89" t="s">
        <v>37</v>
      </c>
      <c r="B10" s="15" t="s">
        <v>38</v>
      </c>
      <c r="C10" s="15" t="s">
        <v>26</v>
      </c>
      <c r="D10" s="78" t="s">
        <v>8</v>
      </c>
      <c r="E10" s="78" t="s">
        <v>8</v>
      </c>
    </row>
    <row r="11" spans="1:5" ht="17" x14ac:dyDescent="0.2">
      <c r="A11" s="90"/>
      <c r="B11" s="16" t="s">
        <v>39</v>
      </c>
      <c r="C11" s="16" t="s">
        <v>27</v>
      </c>
      <c r="D11" s="79"/>
      <c r="E11" s="79"/>
    </row>
    <row r="12" spans="1:5" ht="17" x14ac:dyDescent="0.2">
      <c r="A12" s="90"/>
      <c r="B12" s="16" t="s">
        <v>40</v>
      </c>
      <c r="C12" s="16" t="s">
        <v>28</v>
      </c>
      <c r="D12" s="79"/>
      <c r="E12" s="79"/>
    </row>
    <row r="13" spans="1:5" ht="34" x14ac:dyDescent="0.2">
      <c r="A13" s="90"/>
      <c r="B13" s="16" t="s">
        <v>41</v>
      </c>
      <c r="C13" s="16" t="s">
        <v>29</v>
      </c>
      <c r="D13" s="79"/>
      <c r="E13" s="79"/>
    </row>
    <row r="14" spans="1:5" ht="17" x14ac:dyDescent="0.2">
      <c r="A14" s="90"/>
      <c r="B14" s="16" t="s">
        <v>42</v>
      </c>
      <c r="C14" s="16" t="s">
        <v>30</v>
      </c>
      <c r="D14" s="79"/>
      <c r="E14" s="79"/>
    </row>
    <row r="15" spans="1:5" ht="55" thickBot="1" x14ac:dyDescent="0.25">
      <c r="A15" s="82"/>
      <c r="B15" s="10" t="s">
        <v>43</v>
      </c>
      <c r="C15" s="10" t="s">
        <v>44</v>
      </c>
      <c r="D15" s="80"/>
      <c r="E15" s="80"/>
    </row>
    <row r="16" spans="1:5" ht="16" x14ac:dyDescent="0.2">
      <c r="A16" s="83" t="s">
        <v>45</v>
      </c>
      <c r="B16" s="91">
        <v>3.567E-2</v>
      </c>
      <c r="C16" s="17">
        <v>9.8599999999999993E-2</v>
      </c>
      <c r="D16" s="86" t="s">
        <v>8</v>
      </c>
      <c r="E16" s="86" t="s">
        <v>8</v>
      </c>
    </row>
    <row r="17" spans="1:5" ht="35" thickBot="1" x14ac:dyDescent="0.25">
      <c r="A17" s="85"/>
      <c r="B17" s="92"/>
      <c r="C17" s="13" t="s">
        <v>46</v>
      </c>
      <c r="D17" s="88"/>
      <c r="E17" s="88"/>
    </row>
    <row r="18" spans="1:5" ht="34" x14ac:dyDescent="0.2">
      <c r="A18" s="89" t="s">
        <v>47</v>
      </c>
      <c r="B18" s="15" t="s">
        <v>48</v>
      </c>
      <c r="C18" s="15" t="s">
        <v>26</v>
      </c>
      <c r="D18" s="15" t="s">
        <v>53</v>
      </c>
      <c r="E18" s="20">
        <v>0.82799999999999996</v>
      </c>
    </row>
    <row r="19" spans="1:5" ht="34" x14ac:dyDescent="0.2">
      <c r="A19" s="90"/>
      <c r="B19" s="16" t="s">
        <v>49</v>
      </c>
      <c r="C19" s="16" t="s">
        <v>27</v>
      </c>
      <c r="D19" s="16" t="s">
        <v>54</v>
      </c>
      <c r="E19" s="16" t="s">
        <v>58</v>
      </c>
    </row>
    <row r="20" spans="1:5" ht="17" x14ac:dyDescent="0.2">
      <c r="A20" s="90"/>
      <c r="B20" s="16" t="s">
        <v>50</v>
      </c>
      <c r="C20" s="16" t="s">
        <v>28</v>
      </c>
      <c r="D20" s="16" t="s">
        <v>55</v>
      </c>
      <c r="E20" s="16" t="s">
        <v>59</v>
      </c>
    </row>
    <row r="21" spans="1:5" ht="34" x14ac:dyDescent="0.2">
      <c r="A21" s="90"/>
      <c r="B21" s="16" t="s">
        <v>51</v>
      </c>
      <c r="C21" s="16" t="s">
        <v>29</v>
      </c>
      <c r="D21" s="16" t="s">
        <v>56</v>
      </c>
      <c r="E21" s="16" t="s">
        <v>60</v>
      </c>
    </row>
    <row r="22" spans="1:5" ht="17" x14ac:dyDescent="0.2">
      <c r="A22" s="90"/>
      <c r="B22" s="16" t="s">
        <v>44</v>
      </c>
      <c r="C22" s="16" t="s">
        <v>52</v>
      </c>
      <c r="D22" s="16" t="s">
        <v>57</v>
      </c>
      <c r="E22" s="16" t="s">
        <v>61</v>
      </c>
    </row>
    <row r="23" spans="1:5" ht="24" thickBot="1" x14ac:dyDescent="0.25">
      <c r="A23" s="82"/>
      <c r="B23" s="18"/>
      <c r="C23" s="10" t="s">
        <v>44</v>
      </c>
      <c r="D23" s="19"/>
      <c r="E23" s="18"/>
    </row>
  </sheetData>
  <mergeCells count="11">
    <mergeCell ref="A16:A17"/>
    <mergeCell ref="B16:B17"/>
    <mergeCell ref="D16:D17"/>
    <mergeCell ref="E16:E17"/>
    <mergeCell ref="A18:A23"/>
    <mergeCell ref="E10:E15"/>
    <mergeCell ref="A2:A3"/>
    <mergeCell ref="A4:A9"/>
    <mergeCell ref="D4:D9"/>
    <mergeCell ref="A10:A15"/>
    <mergeCell ref="D10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data_imperial</vt:lpstr>
      <vt:lpstr>producer_data_metric</vt:lpstr>
      <vt:lpstr>info</vt:lpstr>
      <vt:lpstr>price worksheet</vt:lpstr>
      <vt:lpstr>CO_Example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 R Jablonski</dc:creator>
  <cp:lastModifiedBy>Allison Bauman</cp:lastModifiedBy>
  <dcterms:created xsi:type="dcterms:W3CDTF">2025-10-07T20:29:24Z</dcterms:created>
  <dcterms:modified xsi:type="dcterms:W3CDTF">2025-10-22T21:55:13Z</dcterms:modified>
</cp:coreProperties>
</file>