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g24/Library/CloudStorage/Box-Box/Research/CityFoodPolicy/2023.NYC_FFARRockefeller/research/dry_beans/model_input/data/data_processed/"/>
    </mc:Choice>
  </mc:AlternateContent>
  <xr:revisionPtr revIDLastSave="0" documentId="13_ncr:1_{0CF1DB32-7C99-654B-82CD-8DA7281F7B18}" xr6:coauthVersionLast="47" xr6:coauthVersionMax="47" xr10:uidLastSave="{00000000-0000-0000-0000-000000000000}"/>
  <bookViews>
    <workbookView xWindow="2500" yWindow="1620" windowWidth="26760" windowHeight="14880" activeTab="1" xr2:uid="{C1301682-8774-5740-820F-FB5AA33D018F}"/>
  </bookViews>
  <sheets>
    <sheet name="drybeans" sheetId="1" r:id="rId1"/>
    <sheet name="soybeans" sheetId="2" r:id="rId2"/>
    <sheet name="no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H2" i="2"/>
  <c r="G3" i="2"/>
  <c r="H3" i="2"/>
  <c r="G4" i="2"/>
  <c r="H4" i="2"/>
  <c r="G5" i="2"/>
  <c r="H5" i="2"/>
  <c r="G6" i="2"/>
  <c r="H6" i="2"/>
  <c r="G7" i="2"/>
  <c r="H7" i="2"/>
  <c r="G8" i="2"/>
  <c r="H8" i="2"/>
  <c r="G3" i="1"/>
  <c r="G4" i="1"/>
  <c r="G5" i="1"/>
  <c r="G6" i="1"/>
  <c r="G2" i="1"/>
  <c r="F6" i="1"/>
  <c r="F3" i="1"/>
  <c r="F4" i="1"/>
  <c r="F5" i="1"/>
  <c r="F2" i="1"/>
</calcChain>
</file>

<file path=xl/sharedStrings.xml><?xml version="1.0" encoding="utf-8"?>
<sst xmlns="http://schemas.openxmlformats.org/spreadsheetml/2006/main" count="66" uniqueCount="17">
  <si>
    <t>MWBE</t>
  </si>
  <si>
    <t>Not MWBE</t>
  </si>
  <si>
    <t>GCFI less than $1M</t>
  </si>
  <si>
    <t>GCFI $1M or more</t>
  </si>
  <si>
    <t>No organic sales</t>
  </si>
  <si>
    <t>mean</t>
  </si>
  <si>
    <t>se</t>
  </si>
  <si>
    <t>Organic sales</t>
  </si>
  <si>
    <t>mwbe_fct</t>
  </si>
  <si>
    <t>sales_class_agg</t>
  </si>
  <si>
    <t>organic_fct</t>
  </si>
  <si>
    <t>all</t>
  </si>
  <si>
    <t>percent_diff_mean</t>
  </si>
  <si>
    <t>percent_diff_se</t>
  </si>
  <si>
    <t>sample</t>
  </si>
  <si>
    <t>US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</si>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</sst>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1" applyNumberFormat="1" applyFont="1"/>
    <xf numFmtId="43" fontId="0" fillId="0" borderId="0" xfId="1" applyFont="1"/>
    <xf numFmtId="2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1229C-88C7-6A4D-BD6C-7E101FBAECB7}">
  <dimension ref="A1:G6"/>
  <sheetViews>
    <sheetView zoomScale="150" zoomScaleNormal="150" workbookViewId="0">
      <selection activeCell="F2" sqref="F2"/>
    </sheetView>
  </sheetViews>
  <sheetFormatPr baseColWidth="10" defaultRowHeight="16" x14ac:dyDescent="0.2"/>
  <cols>
    <col min="2" max="2" width="18.5" customWidth="1"/>
    <col min="3" max="3" width="15.6640625" customWidth="1"/>
  </cols>
  <sheetData>
    <row r="1" spans="1:7" x14ac:dyDescent="0.2">
      <c r="A1" t="s">
        <v>8</v>
      </c>
      <c r="B1" t="s">
        <v>9</v>
      </c>
      <c r="C1" t="s">
        <v>10</v>
      </c>
      <c r="D1" t="s">
        <v>5</v>
      </c>
      <c r="E1" t="s">
        <v>6</v>
      </c>
      <c r="F1" t="s">
        <v>12</v>
      </c>
      <c r="G1" t="s">
        <v>13</v>
      </c>
    </row>
    <row r="2" spans="1:7" x14ac:dyDescent="0.2">
      <c r="A2" t="s">
        <v>0</v>
      </c>
      <c r="B2" t="s">
        <v>2</v>
      </c>
      <c r="C2" t="s">
        <v>4</v>
      </c>
      <c r="D2">
        <v>600</v>
      </c>
      <c r="E2">
        <v>150</v>
      </c>
      <c r="F2" s="1">
        <f>(D2-$D$6)/$D$6</f>
        <v>-0.25</v>
      </c>
      <c r="G2" s="1">
        <f>(E2-$E$6)/$D$6</f>
        <v>0.125</v>
      </c>
    </row>
    <row r="3" spans="1:7" x14ac:dyDescent="0.2">
      <c r="A3" t="s">
        <v>1</v>
      </c>
      <c r="B3" t="s">
        <v>2</v>
      </c>
      <c r="C3" t="s">
        <v>4</v>
      </c>
      <c r="D3">
        <v>550</v>
      </c>
      <c r="E3">
        <v>50</v>
      </c>
      <c r="F3" s="1">
        <f>(D3-$D$6)/$D$6</f>
        <v>-0.3125</v>
      </c>
      <c r="G3" s="1">
        <f t="shared" ref="G3:G6" si="0">(E3-$E$6)/$D$6</f>
        <v>0</v>
      </c>
    </row>
    <row r="4" spans="1:7" x14ac:dyDescent="0.2">
      <c r="A4" t="s">
        <v>1</v>
      </c>
      <c r="B4" t="s">
        <v>3</v>
      </c>
      <c r="C4" t="s">
        <v>4</v>
      </c>
      <c r="D4">
        <v>790</v>
      </c>
      <c r="E4">
        <v>200</v>
      </c>
      <c r="F4" s="1">
        <f>(D4-$D$6)/$D$6</f>
        <v>-1.2500000000000001E-2</v>
      </c>
      <c r="G4" s="1">
        <f t="shared" si="0"/>
        <v>0.1875</v>
      </c>
    </row>
    <row r="5" spans="1:7" x14ac:dyDescent="0.2">
      <c r="A5" t="s">
        <v>1</v>
      </c>
      <c r="B5" t="s">
        <v>2</v>
      </c>
      <c r="C5" t="s">
        <v>7</v>
      </c>
      <c r="D5">
        <v>1000</v>
      </c>
      <c r="E5">
        <v>250</v>
      </c>
      <c r="F5" s="1">
        <f>(D5-$D$6)/$D$6</f>
        <v>0.25</v>
      </c>
      <c r="G5" s="1">
        <f t="shared" si="0"/>
        <v>0.25</v>
      </c>
    </row>
    <row r="6" spans="1:7" x14ac:dyDescent="0.2">
      <c r="A6" t="s">
        <v>11</v>
      </c>
      <c r="B6" t="s">
        <v>11</v>
      </c>
      <c r="C6" t="s">
        <v>4</v>
      </c>
      <c r="D6">
        <v>800</v>
      </c>
      <c r="E6">
        <v>50</v>
      </c>
      <c r="F6" s="1">
        <f>(D6-$D$6)/$D$6</f>
        <v>0</v>
      </c>
      <c r="G6" s="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70A8-1E97-DB4A-A6EA-D1E7515B4D75}">
  <dimension ref="A1:H10"/>
  <sheetViews>
    <sheetView tabSelected="1" zoomScale="150" zoomScaleNormal="150" workbookViewId="0">
      <selection activeCell="H8" sqref="H8"/>
    </sheetView>
  </sheetViews>
  <sheetFormatPr baseColWidth="10" defaultRowHeight="16" x14ac:dyDescent="0.2"/>
  <cols>
    <col min="3" max="3" width="18.5" customWidth="1"/>
    <col min="4" max="4" width="15.6640625" customWidth="1"/>
  </cols>
  <sheetData>
    <row r="1" spans="1:8" x14ac:dyDescent="0.2">
      <c r="A1" t="s">
        <v>14</v>
      </c>
      <c r="B1" t="s">
        <v>8</v>
      </c>
      <c r="C1" t="s">
        <v>9</v>
      </c>
      <c r="D1" t="s">
        <v>10</v>
      </c>
      <c r="E1" t="s">
        <v>5</v>
      </c>
      <c r="F1" t="s">
        <v>6</v>
      </c>
      <c r="G1" t="s">
        <v>12</v>
      </c>
      <c r="H1" t="s">
        <v>13</v>
      </c>
    </row>
    <row r="2" spans="1:8" x14ac:dyDescent="0.2">
      <c r="A2" t="s">
        <v>15</v>
      </c>
      <c r="B2" t="s">
        <v>0</v>
      </c>
      <c r="C2" t="s">
        <v>3</v>
      </c>
      <c r="D2" t="s">
        <v>4</v>
      </c>
      <c r="E2">
        <v>540</v>
      </c>
      <c r="F2">
        <v>50</v>
      </c>
      <c r="G2" s="2">
        <f>(E2-$E$9)/$E$9</f>
        <v>1.8867924528301886E-2</v>
      </c>
      <c r="H2" s="2">
        <f>(F2-$F$9)/$F$9</f>
        <v>4</v>
      </c>
    </row>
    <row r="3" spans="1:8" x14ac:dyDescent="0.2">
      <c r="A3" t="s">
        <v>15</v>
      </c>
      <c r="B3" t="s">
        <v>1</v>
      </c>
      <c r="C3" t="s">
        <v>3</v>
      </c>
      <c r="D3" t="s">
        <v>4</v>
      </c>
      <c r="E3">
        <v>540</v>
      </c>
      <c r="F3">
        <v>25</v>
      </c>
      <c r="G3" s="2">
        <f>(E3-$E$9)/$E$9</f>
        <v>1.8867924528301886E-2</v>
      </c>
      <c r="H3" s="2">
        <f>(F3-$F$9)/$F$9</f>
        <v>1.5</v>
      </c>
    </row>
    <row r="4" spans="1:8" x14ac:dyDescent="0.2">
      <c r="A4" t="s">
        <v>15</v>
      </c>
      <c r="B4" t="s">
        <v>0</v>
      </c>
      <c r="C4" t="s">
        <v>2</v>
      </c>
      <c r="D4" t="s">
        <v>4</v>
      </c>
      <c r="E4">
        <v>541</v>
      </c>
      <c r="F4">
        <v>15</v>
      </c>
      <c r="G4" s="2">
        <f>(E4-$E$9)/$E$9</f>
        <v>2.0754716981132074E-2</v>
      </c>
      <c r="H4" s="2">
        <f>(F4-$F$9)/$F$9</f>
        <v>0.5</v>
      </c>
    </row>
    <row r="5" spans="1:8" x14ac:dyDescent="0.2">
      <c r="A5" t="s">
        <v>15</v>
      </c>
      <c r="B5" t="s">
        <v>1</v>
      </c>
      <c r="C5" t="s">
        <v>2</v>
      </c>
      <c r="D5" t="s">
        <v>4</v>
      </c>
      <c r="E5">
        <v>545</v>
      </c>
      <c r="F5">
        <v>10</v>
      </c>
      <c r="G5" s="2">
        <f>(E5-$E$9)/$E$9</f>
        <v>2.8301886792452831E-2</v>
      </c>
      <c r="H5" s="2">
        <f>(F5-$F$9)/$F$9</f>
        <v>0</v>
      </c>
    </row>
    <row r="6" spans="1:8" x14ac:dyDescent="0.2">
      <c r="A6" t="s">
        <v>15</v>
      </c>
      <c r="B6" t="s">
        <v>0</v>
      </c>
      <c r="C6" t="s">
        <v>2</v>
      </c>
      <c r="D6" t="s">
        <v>7</v>
      </c>
      <c r="E6">
        <v>900</v>
      </c>
      <c r="F6">
        <v>350</v>
      </c>
      <c r="G6" s="2">
        <f>(E6-E$10)/E$10</f>
        <v>0.56521739130434778</v>
      </c>
      <c r="H6" s="2">
        <f>(F6-F$10)/F$10</f>
        <v>2.5</v>
      </c>
    </row>
    <row r="7" spans="1:8" x14ac:dyDescent="0.2">
      <c r="A7" t="s">
        <v>15</v>
      </c>
      <c r="B7" t="s">
        <v>1</v>
      </c>
      <c r="C7" t="s">
        <v>2</v>
      </c>
      <c r="D7" t="s">
        <v>7</v>
      </c>
      <c r="E7">
        <v>450</v>
      </c>
      <c r="F7">
        <v>30</v>
      </c>
      <c r="G7" s="3">
        <f>(E7-E$10)/E$10</f>
        <v>-0.21739130434782608</v>
      </c>
      <c r="H7" s="3">
        <f>(F7-F$10)/F$10</f>
        <v>-0.7</v>
      </c>
    </row>
    <row r="8" spans="1:8" x14ac:dyDescent="0.2">
      <c r="A8" t="s">
        <v>16</v>
      </c>
      <c r="B8" t="s">
        <v>11</v>
      </c>
      <c r="C8" t="s">
        <v>11</v>
      </c>
      <c r="D8" t="s">
        <v>4</v>
      </c>
      <c r="E8">
        <v>800</v>
      </c>
      <c r="F8">
        <v>200</v>
      </c>
      <c r="G8" s="2">
        <f>(E8-E$9)/E$9</f>
        <v>0.50943396226415094</v>
      </c>
      <c r="H8" s="2">
        <f>(F8-F$9)/F$9</f>
        <v>19</v>
      </c>
    </row>
    <row r="9" spans="1:8" x14ac:dyDescent="0.2">
      <c r="A9" t="s">
        <v>15</v>
      </c>
      <c r="B9" t="s">
        <v>11</v>
      </c>
      <c r="C9" t="s">
        <v>11</v>
      </c>
      <c r="D9" t="s">
        <v>4</v>
      </c>
      <c r="E9">
        <v>530</v>
      </c>
      <c r="F9">
        <v>10</v>
      </c>
    </row>
    <row r="10" spans="1:8" x14ac:dyDescent="0.2">
      <c r="A10" t="s">
        <v>15</v>
      </c>
      <c r="B10" t="s">
        <v>11</v>
      </c>
      <c r="C10" t="s">
        <v>11</v>
      </c>
      <c r="D10" t="s">
        <v>7</v>
      </c>
      <c r="E10">
        <v>575</v>
      </c>
      <c r="F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67F5E-BEB3-CB49-B524-DD3EBF1FA9C6}">
  <dimension ref="A1"/>
  <sheetViews>
    <sheetView workbookViewId="0">
      <selection sqref="A1:B1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drybeans</vt:lpstr>
      <vt:lpstr>soybeans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Bauman</dc:creator>
  <cp:lastModifiedBy>Allison Bauman</cp:lastModifiedBy>
  <dcterms:created xsi:type="dcterms:W3CDTF">2025-10-06T22:30:39Z</dcterms:created>
  <dcterms:modified xsi:type="dcterms:W3CDTF">2025-10-16T19:02:07Z</dcterms:modified>
</cp:coreProperties>
</file>